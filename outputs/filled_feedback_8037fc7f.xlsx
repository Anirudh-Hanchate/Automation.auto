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020" tabRatio="600" firstSheet="0" activeTab="0" autoFilterDateGrouping="1"/>
  </bookViews>
  <sheets>
    <sheet xmlns:r="http://schemas.openxmlformats.org/officeDocument/2006/relationships" name="Mod-1 Participant's Feedback" sheetId="1" state="visible" r:id="rId1"/>
    <sheet xmlns:r="http://schemas.openxmlformats.org/officeDocument/2006/relationships" name="Mod-1 Overall Feedback" sheetId="2" state="visible" r:id="rId2"/>
    <sheet xmlns:r="http://schemas.openxmlformats.org/officeDocument/2006/relationships" name="Mod-1Suggestions" sheetId="3" state="visible" r:id="rId3"/>
    <sheet xmlns:r="http://schemas.openxmlformats.org/officeDocument/2006/relationships" name="Faculty Performanc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38">
    <font>
      <name val="Calibri"/>
      <charset val="134"/>
      <color theme="1"/>
      <sz val="11"/>
      <scheme val="minor"/>
    </font>
    <font>
      <name val="Arial"/>
      <charset val="134"/>
      <b val="1"/>
      <sz val="11"/>
    </font>
    <font>
      <name val="Arial"/>
      <charset val="134"/>
      <b val="1"/>
      <sz val="11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theme="1"/>
      <sz val="18"/>
      <scheme val="minor"/>
    </font>
    <font>
      <name val="Calibri"/>
      <charset val="134"/>
      <b val="1"/>
      <color theme="1"/>
      <sz val="16"/>
      <scheme val="minor"/>
    </font>
    <font>
      <name val="Book Antiqua"/>
      <charset val="134"/>
      <b val="1"/>
      <color theme="1"/>
      <sz val="11"/>
    </font>
    <font>
      <name val="Book Antiqua"/>
      <charset val="134"/>
      <sz val="12"/>
    </font>
    <font>
      <name val="Book Antiqua"/>
      <charset val="134"/>
      <color theme="1"/>
      <sz val="11"/>
    </font>
    <font>
      <name val="Calibri"/>
      <charset val="134"/>
      <b val="1"/>
      <color theme="1"/>
      <sz val="12"/>
      <scheme val="minor"/>
    </font>
    <font>
      <name val="Arial"/>
      <charset val="134"/>
      <b val="1"/>
      <sz val="16"/>
    </font>
    <font>
      <name val="Arial"/>
      <charset val="134"/>
      <b val="1"/>
      <sz val="20"/>
    </font>
    <font>
      <name val="Arial"/>
      <charset val="134"/>
      <b val="1"/>
      <sz val="14"/>
    </font>
    <font>
      <name val="Arial"/>
      <charset val="134"/>
      <b val="1"/>
      <sz val="12"/>
    </font>
    <font>
      <name val="Times New Roman"/>
      <charset val="134"/>
      <b val="1"/>
      <color theme="1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indexed="12"/>
      <sz val="11"/>
      <u val="single"/>
    </font>
    <font>
      <name val="Calibri"/>
      <charset val="1"/>
      <color rgb="FF000000"/>
      <sz val="11"/>
    </font>
    <font>
      <name val="Calibri"/>
      <charset val="134"/>
      <color indexed="8"/>
      <sz val="11"/>
    </font>
  </fonts>
  <fills count="42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2">
    <xf numFmtId="0" fontId="15" fillId="0" borderId="0"/>
    <xf numFmtId="165" fontId="15" fillId="0" borderId="0" applyAlignment="1">
      <alignment vertical="center"/>
    </xf>
    <xf numFmtId="166" fontId="15" fillId="0" borderId="0" applyAlignment="1">
      <alignment vertical="center"/>
    </xf>
    <xf numFmtId="9" fontId="15" fillId="0" borderId="0" applyAlignment="1">
      <alignment vertical="center"/>
    </xf>
    <xf numFmtId="167" fontId="15" fillId="0" borderId="0" applyAlignment="1">
      <alignment vertical="center"/>
    </xf>
    <xf numFmtId="168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11" borderId="2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23" applyAlignment="1">
      <alignment vertical="center"/>
    </xf>
    <xf numFmtId="0" fontId="22" fillId="0" borderId="23" applyAlignment="1">
      <alignment vertical="center"/>
    </xf>
    <xf numFmtId="0" fontId="23" fillId="0" borderId="24" applyAlignment="1">
      <alignment vertical="center"/>
    </xf>
    <xf numFmtId="0" fontId="23" fillId="0" borderId="0" applyAlignment="1">
      <alignment vertical="center"/>
    </xf>
    <xf numFmtId="0" fontId="24" fillId="12" borderId="25" applyAlignment="1">
      <alignment vertical="center"/>
    </xf>
    <xf numFmtId="0" fontId="25" fillId="13" borderId="26" applyAlignment="1">
      <alignment vertical="center"/>
    </xf>
    <xf numFmtId="0" fontId="26" fillId="13" borderId="25" applyAlignment="1">
      <alignment vertical="center"/>
    </xf>
    <xf numFmtId="0" fontId="27" fillId="14" borderId="27" applyAlignment="1">
      <alignment vertical="center"/>
    </xf>
    <xf numFmtId="0" fontId="28" fillId="0" borderId="28" applyAlignment="1">
      <alignment vertical="center"/>
    </xf>
    <xf numFmtId="0" fontId="29" fillId="0" borderId="29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4" fillId="19" borderId="0" applyAlignment="1">
      <alignment vertical="center"/>
    </xf>
    <xf numFmtId="0" fontId="34" fillId="20" borderId="0" applyAlignment="1">
      <alignment vertical="center"/>
    </xf>
    <xf numFmtId="0" fontId="33" fillId="21" borderId="0" applyAlignment="1">
      <alignment vertical="center"/>
    </xf>
    <xf numFmtId="0" fontId="33" fillId="22" borderId="0" applyAlignment="1">
      <alignment vertical="center"/>
    </xf>
    <xf numFmtId="0" fontId="34" fillId="23" borderId="0" applyAlignment="1">
      <alignment vertical="center"/>
    </xf>
    <xf numFmtId="0" fontId="34" fillId="24" borderId="0" applyAlignment="1">
      <alignment vertical="center"/>
    </xf>
    <xf numFmtId="0" fontId="33" fillId="25" borderId="0" applyAlignment="1">
      <alignment vertical="center"/>
    </xf>
    <xf numFmtId="0" fontId="33" fillId="26" borderId="0" applyAlignment="1">
      <alignment vertical="center"/>
    </xf>
    <xf numFmtId="0" fontId="34" fillId="27" borderId="0" applyAlignment="1">
      <alignment vertical="center"/>
    </xf>
    <xf numFmtId="0" fontId="34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0" fontId="35" fillId="0" borderId="0"/>
    <xf numFmtId="0" fontId="36" fillId="0" borderId="0"/>
    <xf numFmtId="0" fontId="37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2" borderId="3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0" fontId="0" fillId="0" borderId="1" pivotButton="0" quotePrefix="0" xfId="0"/>
    <xf numFmtId="164" fontId="2" fillId="3" borderId="1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49" fontId="8" fillId="0" borderId="1" applyAlignment="1" pivotButton="0" quotePrefix="0" xfId="0">
      <alignment horizontal="center" wrapText="1"/>
    </xf>
    <xf numFmtId="0" fontId="9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2" fontId="0" fillId="0" borderId="9" pivotButton="0" quotePrefix="0" xfId="0"/>
    <xf numFmtId="0" fontId="0" fillId="0" borderId="10" pivotButton="0" quotePrefix="0" xfId="0"/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2" fontId="13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4" fillId="7" borderId="1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4" fillId="7" borderId="1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 vertical="center" wrapText="1"/>
    </xf>
    <xf numFmtId="0" fontId="13" fillId="3" borderId="13" applyAlignment="1" pivotButton="0" quotePrefix="0" xfId="0">
      <alignment horizontal="center" vertical="center"/>
    </xf>
    <xf numFmtId="0" fontId="13" fillId="3" borderId="14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6" pivotButton="0" quotePrefix="0" xfId="0"/>
    <xf numFmtId="0" fontId="1" fillId="0" borderId="16" applyAlignment="1" pivotButton="0" quotePrefix="0" xfId="0">
      <alignment horizontal="center"/>
    </xf>
    <xf numFmtId="0" fontId="13" fillId="8" borderId="17" applyAlignment="1" pivotButton="0" quotePrefix="0" xfId="0">
      <alignment horizontal="center" vertical="center"/>
    </xf>
    <xf numFmtId="0" fontId="13" fillId="8" borderId="18" applyAlignment="1" pivotButton="0" quotePrefix="0" xfId="0">
      <alignment horizontal="center" vertical="center"/>
    </xf>
    <xf numFmtId="0" fontId="13" fillId="5" borderId="19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6" borderId="19" applyAlignment="1" pivotButton="0" quotePrefix="0" xfId="0">
      <alignment horizontal="center" vertical="center"/>
    </xf>
    <xf numFmtId="0" fontId="13" fillId="6" borderId="6" applyAlignment="1" pivotButton="0" quotePrefix="0" xfId="0">
      <alignment horizontal="center" vertical="center"/>
    </xf>
    <xf numFmtId="0" fontId="13" fillId="9" borderId="19" applyAlignment="1" pivotButton="0" quotePrefix="0" xfId="0">
      <alignment horizontal="center" vertical="center"/>
    </xf>
    <xf numFmtId="0" fontId="13" fillId="9" borderId="6" applyAlignment="1" pivotButton="0" quotePrefix="0" xfId="0">
      <alignment horizontal="center" vertical="center"/>
    </xf>
    <xf numFmtId="0" fontId="13" fillId="10" borderId="20" applyAlignment="1" pivotButton="0" quotePrefix="0" xfId="0">
      <alignment horizontal="center" vertical="center"/>
    </xf>
    <xf numFmtId="0" fontId="13" fillId="10" borderId="21" applyAlignment="1" pivotButton="0" quotePrefix="0" xfId="0">
      <alignment horizontal="center" vertical="center"/>
    </xf>
    <xf numFmtId="0" fontId="14" fillId="7" borderId="11" applyAlignment="1" pivotButton="0" quotePrefix="1" xfId="0">
      <alignment horizontal="center" vertical="center" wrapText="1"/>
    </xf>
    <xf numFmtId="0" fontId="14" fillId="7" borderId="1" applyAlignment="1" pivotButton="0" quotePrefix="1" xfId="0">
      <alignment horizontal="center" vertical="center" wrapText="1"/>
    </xf>
    <xf numFmtId="0" fontId="0" fillId="0" borderId="0" pivotButton="0" quotePrefix="1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164" fontId="1" fillId="3" borderId="1" applyAlignment="1" pivotButton="0" quotePrefix="0" xfId="0">
      <alignment horizontal="center"/>
    </xf>
    <xf numFmtId="0" fontId="0" fillId="0" borderId="12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164" fontId="1" fillId="0" borderId="0" applyAlignment="1" pivotButton="0" quotePrefix="0" xfId="0">
      <alignment horizontal="center"/>
    </xf>
    <xf numFmtId="0" fontId="0" fillId="0" borderId="18" pivotButton="0" quotePrefix="0" xfId="0"/>
    <xf numFmtId="0" fontId="0" fillId="0" borderId="21" pivotButton="0" quotePrefix="0" xfId="0"/>
    <xf numFmtId="164" fontId="0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1" fillId="2" borderId="3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1" fillId="0" borderId="3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0" fillId="0" borderId="0" pivotButton="0" quotePrefix="0" xfId="0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  <cellStyle name="Normal 2 2" xfId="51"/>
  </cellStyles>
  <dxfs count="11"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 patternType="solid">
          <bgColor theme="8" tint="0.799981688894314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color auto="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b val="1"/>
        <strike val="0"/>
        <color auto="1"/>
        <sz val="11"/>
      </font>
      <numFmt numFmtId="180" formatCode="0.0"/>
      <fill>
        <patternFill/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5"/>
          <order val="0"/>
          <spPr>
            <a:solidFill xmlns:a="http://schemas.openxmlformats.org/drawingml/2006/main">
              <a:schemeClr val="accent3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en-US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'Faculty Performance'!$A$1:$F$1</f>
              <strCache>
                <ptCount val="6"/>
                <pt idx="0">
                  <v>SS</v>
                </pt>
                <pt idx="1">
                  <v>UG</v>
                </pt>
                <pt idx="2">
                  <v>B K</v>
                </pt>
                <pt idx="3">
                  <v>JK</v>
                </pt>
                <pt idx="4">
                  <v>A M</v>
                </pt>
                <pt idx="5">
                  <v>S K Das</v>
                </pt>
              </strCache>
            </strRef>
          </cat>
          <val>
            <numRef>
              <f>'Faculty Performance'!$A$22:$G$22</f>
              <numCache>
                <formatCode>0.0</formatCode>
                <ptCount val="7"/>
                <pt idx="0">
                  <v>9.38866396761134</v>
                </pt>
                <pt idx="1">
                  <v>9.423846153846149</v>
                </pt>
                <pt idx="2">
                  <v>9.36923076923077</v>
                </pt>
                <pt idx="3">
                  <v>9.34615384615385</v>
                </pt>
                <pt idx="4">
                  <v>8.646153846153849</v>
                </pt>
                <pt idx="5">
                  <v>9.415384615384619</v>
                </pt>
                <pt idx="6">
                  <v>9.44615384615385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208064"/>
        <axId val="145209600"/>
      </barChart>
      <catAx>
        <axId val="145208064"/>
        <scaling>
          <orientation val="minMax"/>
        </scaling>
        <delete val="0"/>
        <axPos val="b"/>
        <majorTickMark val="out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45209600"/>
        <crosses val="autoZero"/>
        <auto val="1"/>
        <lblAlgn val="ctr"/>
        <lblOffset val="100"/>
        <noMultiLvlLbl val="0"/>
      </catAx>
      <valAx>
        <axId val="145209600"/>
        <scaling>
          <orientation val="minMax"/>
        </scaling>
        <delete val="1"/>
        <axPos val="l"/>
        <majorGridlines/>
        <numFmt formatCode="0.0" sourceLinked="1"/>
        <majorTickMark val="out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45208064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</col>
      <colOff>1985533</colOff>
      <row>0</row>
      <rowOff>112058</rowOff>
    </from>
    <to>
      <col>12</col>
      <colOff>739588</colOff>
      <row>0</row>
      <rowOff>1333499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777355" y="111760"/>
          <a:ext cx="9111615" cy="1221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9</col>
      <colOff>333375</colOff>
      <row>9</row>
      <rowOff>9525</rowOff>
    </from>
    <to>
      <col>17</col>
      <colOff>28575</colOff>
      <row>28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1:G22" headerRowCount="1" totalsRowShown="0">
  <tableColumns count="7">
    <tableColumn id="2" name="SS" dataDxfId="5">
      <calculatedColumnFormula>AVERAGE(#REF!)</calculatedColumnFormula>
    </tableColumn>
    <tableColumn id="1" name="UG" dataDxfId="6"/>
    <tableColumn id="3" name="B K"/>
    <tableColumn id="6" name="JK" dataDxfId="7"/>
    <tableColumn id="4" name="A M" dataDxfId="8"/>
    <tableColumn id="7" name="S K Das" dataDxfId="9"/>
    <tableColumn id="5" name="K V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tabSelected="1" zoomScale="85" zoomScaleNormal="85" workbookViewId="0">
      <selection activeCell="C1" sqref="C1"/>
    </sheetView>
  </sheetViews>
  <sheetFormatPr baseColWidth="8" defaultColWidth="9" defaultRowHeight="15"/>
  <cols>
    <col width="16.1238095238095" customWidth="1" style="70" min="1" max="1"/>
    <col width="55.752380952381" customWidth="1" style="70" min="2" max="2"/>
    <col width="53" customWidth="1" style="70" min="3" max="3"/>
    <col width="11.3714285714286" customWidth="1" style="70" min="4" max="14"/>
    <col width="11.3714285714286" customWidth="1" style="70" min="15" max="16"/>
    <col width="7.87619047619048" customWidth="1" style="70" min="17" max="17"/>
    <col width="18.247619047619" customWidth="1" style="70" min="18" max="18"/>
  </cols>
  <sheetData>
    <row r="1" ht="106.5" customHeight="1" s="70">
      <c r="B1" s="33" t="n"/>
      <c r="C1" s="33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U1" s="35" t="n"/>
      <c r="V1" s="36" t="n"/>
    </row>
    <row r="2" ht="26.25" customHeight="1" s="70">
      <c r="A2" s="37" t="n"/>
      <c r="B2" s="37" t="inlineStr">
        <is>
          <t xml:space="preserve">Program </t>
        </is>
      </c>
      <c r="C2" s="38" t="inlineStr">
        <is>
          <t>Certified Manager of Quality / Organizational Excellence  Batch - 12  
(Date: 3rd to 08th Aug-2026 ) Module - 1</t>
        </is>
      </c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U2" s="86" t="n"/>
      <c r="V2" s="87" t="n"/>
    </row>
    <row r="3" ht="18" customHeight="1" s="70">
      <c r="A3" s="40" t="n"/>
      <c r="B3" s="40" t="inlineStr">
        <is>
          <t>Feedback Form</t>
        </is>
      </c>
      <c r="C3" s="41" t="inlineStr">
        <is>
          <t xml:space="preserve">Please rank the parameters on 10 to 1 scale </t>
        </is>
      </c>
      <c r="D3" s="42" t="inlineStr">
        <is>
          <t>8 to 10 - Excellent ; 6 to 7 - V Good ; 4 to 5 - Good ; 2 to 3- Satisfactory ; 1 - Unsatisfactory</t>
        </is>
      </c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U3" s="86" t="n"/>
      <c r="V3" s="87" t="n"/>
    </row>
    <row r="4" ht="18" customHeight="1" s="70">
      <c r="A4" s="43" t="inlineStr">
        <is>
          <t>Date</t>
        </is>
      </c>
      <c r="B4" s="43" t="inlineStr">
        <is>
          <t>KA / Subject
(Name of Faculty)</t>
        </is>
      </c>
      <c r="C4" s="44" t="inlineStr">
        <is>
          <t>Criteria</t>
        </is>
      </c>
      <c r="D4" s="45" t="inlineStr">
        <is>
          <t>STAFF NO</t>
        </is>
      </c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7" t="n"/>
      <c r="U4" s="46" t="inlineStr">
        <is>
          <t>Avg</t>
        </is>
      </c>
      <c r="V4" s="44" t="inlineStr">
        <is>
          <t>Remarks</t>
        </is>
      </c>
    </row>
    <row r="5" ht="36" customHeight="1" s="70">
      <c r="A5" s="88" t="n"/>
      <c r="B5" s="88" t="n"/>
      <c r="C5" s="88" t="n"/>
      <c r="D5" s="53" t="n">
        <v>212845</v>
      </c>
      <c r="E5" s="53" t="n">
        <v>211110</v>
      </c>
      <c r="F5" s="53" t="n">
        <v>212784</v>
      </c>
      <c r="G5" s="53" t="n">
        <v>214358</v>
      </c>
      <c r="H5" s="53" t="n">
        <v>213762</v>
      </c>
      <c r="I5" s="53" t="n">
        <v>213962</v>
      </c>
      <c r="J5" s="53" t="n">
        <v>213338</v>
      </c>
      <c r="K5" s="53" t="n">
        <v>213949</v>
      </c>
      <c r="L5" s="53" t="n">
        <v>213526</v>
      </c>
      <c r="M5" s="53" t="inlineStr">
        <is>
          <t>E-213570</t>
        </is>
      </c>
      <c r="N5" s="53" t="n">
        <v>210791</v>
      </c>
      <c r="O5" s="53" t="inlineStr">
        <is>
          <t>E-211125</t>
        </is>
      </c>
      <c r="P5" s="53" t="n">
        <v>212856</v>
      </c>
      <c r="Q5" t="inlineStr">
        <is>
          <t>213328</t>
        </is>
      </c>
      <c r="R5" t="inlineStr">
        <is>
          <t>823570</t>
        </is>
      </c>
      <c r="S5" t="inlineStr">
        <is>
          <t>E211127</t>
        </is>
      </c>
      <c r="T5" t="inlineStr">
        <is>
          <t>E213580</t>
        </is>
      </c>
      <c r="U5" s="88" t="n"/>
      <c r="V5" s="88" t="n"/>
    </row>
    <row r="6" ht="19.5" customHeight="1" s="70">
      <c r="A6" s="48" t="inlineStr">
        <is>
          <t>DAY 1
(03-08-2026)</t>
        </is>
      </c>
      <c r="B6" s="84" t="inlineStr">
        <is>
          <t>Leadership (Part-I) 
Mr Surendra Singh, DGM (QM/BAE)</t>
        </is>
      </c>
      <c r="C6" s="50" t="inlineStr">
        <is>
          <t>Course Contenet</t>
        </is>
      </c>
      <c r="D6" s="51" t="n">
        <v>10</v>
      </c>
      <c r="E6" s="51" t="n">
        <v>9</v>
      </c>
      <c r="F6" s="51" t="n">
        <v>9</v>
      </c>
      <c r="G6" s="51" t="n">
        <v>10</v>
      </c>
      <c r="H6" s="51" t="n">
        <v>9</v>
      </c>
      <c r="I6" s="51" t="n">
        <v>9</v>
      </c>
      <c r="J6" s="51" t="n"/>
      <c r="K6" s="51" t="n">
        <v>9</v>
      </c>
      <c r="L6" s="51" t="n">
        <v>10</v>
      </c>
      <c r="M6" s="51" t="n"/>
      <c r="N6" s="51" t="n">
        <v>10</v>
      </c>
      <c r="O6" s="51" t="n"/>
      <c r="P6" s="51" t="n"/>
      <c r="Q6" t="n">
        <v>10</v>
      </c>
      <c r="R6" t="n">
        <v>9</v>
      </c>
      <c r="S6" t="n">
        <v>9</v>
      </c>
      <c r="T6" t="n">
        <v>9</v>
      </c>
      <c r="U6" s="89" t="n"/>
      <c r="V6" s="41" t="n"/>
    </row>
    <row r="7" ht="19.5" customHeight="1" s="70">
      <c r="A7" s="90" t="n"/>
      <c r="B7" s="90" t="n"/>
      <c r="C7" s="50" t="inlineStr">
        <is>
          <t>Structure &amp; Flow</t>
        </is>
      </c>
      <c r="D7" s="51" t="n">
        <v>10</v>
      </c>
      <c r="E7" s="51" t="n">
        <v>9</v>
      </c>
      <c r="F7" s="51" t="n">
        <v>9</v>
      </c>
      <c r="G7" s="51" t="n">
        <v>10</v>
      </c>
      <c r="H7" s="51" t="n">
        <v>9</v>
      </c>
      <c r="I7" s="51" t="n">
        <v>9</v>
      </c>
      <c r="J7" s="51" t="n"/>
      <c r="K7" s="51" t="n">
        <v>9</v>
      </c>
      <c r="L7" s="51" t="n">
        <v>10</v>
      </c>
      <c r="M7" s="51" t="n"/>
      <c r="N7" s="51" t="n">
        <v>10</v>
      </c>
      <c r="O7" s="51" t="n"/>
      <c r="P7" s="51" t="n"/>
      <c r="Q7" t="n">
        <v>9</v>
      </c>
      <c r="R7" t="n">
        <v>9</v>
      </c>
      <c r="S7" t="n">
        <v>9</v>
      </c>
      <c r="T7" t="n">
        <v>9</v>
      </c>
      <c r="U7" s="89" t="n"/>
      <c r="V7" s="41" t="n"/>
    </row>
    <row r="8" ht="19.5" customHeight="1" s="70">
      <c r="A8" s="90" t="n"/>
      <c r="B8" s="90" t="n"/>
      <c r="C8" s="50" t="inlineStr">
        <is>
          <t>Time Management</t>
        </is>
      </c>
      <c r="D8" s="51" t="n">
        <v>10</v>
      </c>
      <c r="E8" s="51" t="n">
        <v>9</v>
      </c>
      <c r="F8" s="51" t="n">
        <v>9</v>
      </c>
      <c r="G8" s="51" t="n">
        <v>10</v>
      </c>
      <c r="H8" s="51" t="n">
        <v>9</v>
      </c>
      <c r="I8" s="51" t="n">
        <v>9</v>
      </c>
      <c r="J8" s="51" t="n"/>
      <c r="K8" s="51" t="n">
        <v>9</v>
      </c>
      <c r="L8" s="51" t="n">
        <v>10</v>
      </c>
      <c r="M8" s="51" t="n"/>
      <c r="N8" s="51" t="n">
        <v>10</v>
      </c>
      <c r="O8" s="51" t="n"/>
      <c r="P8" s="51" t="n"/>
      <c r="Q8" t="n">
        <v>9</v>
      </c>
      <c r="R8" t="n">
        <v>7</v>
      </c>
      <c r="S8" t="n">
        <v>10</v>
      </c>
      <c r="T8" t="n">
        <v>7</v>
      </c>
      <c r="U8" s="89" t="n"/>
      <c r="V8" s="41" t="n"/>
    </row>
    <row r="9" ht="19.5" customHeight="1" s="70">
      <c r="A9" s="90" t="n"/>
      <c r="B9" s="90" t="n"/>
      <c r="C9" s="53" t="inlineStr">
        <is>
          <t>Faculty Delivery</t>
        </is>
      </c>
      <c r="D9" s="53" t="n">
        <v>10</v>
      </c>
      <c r="E9" s="53" t="n">
        <v>9</v>
      </c>
      <c r="F9" s="53" t="n">
        <v>9</v>
      </c>
      <c r="G9" s="51" t="n">
        <v>10</v>
      </c>
      <c r="H9" s="51" t="n">
        <v>9</v>
      </c>
      <c r="I9" s="51" t="n">
        <v>9</v>
      </c>
      <c r="J9" s="51" t="n"/>
      <c r="K9" s="51" t="n">
        <v>9</v>
      </c>
      <c r="L9" s="51" t="n">
        <v>10</v>
      </c>
      <c r="M9" s="53" t="n"/>
      <c r="N9" s="51" t="n">
        <v>10</v>
      </c>
      <c r="O9" s="51" t="n"/>
      <c r="P9" s="51" t="n"/>
      <c r="Q9" t="n">
        <v>9</v>
      </c>
      <c r="R9" t="n">
        <v>9</v>
      </c>
      <c r="S9" t="n">
        <v>10</v>
      </c>
      <c r="T9" t="n">
        <v>9</v>
      </c>
      <c r="U9" s="89" t="n"/>
      <c r="V9" s="41" t="n"/>
    </row>
    <row r="10" ht="19.5" customHeight="1" s="70">
      <c r="A10" s="90" t="n"/>
      <c r="B10" s="88" t="n"/>
      <c r="C10" s="53" t="inlineStr">
        <is>
          <t>Faculty Participants Interaction</t>
        </is>
      </c>
      <c r="D10" s="55" t="n">
        <v>10</v>
      </c>
      <c r="E10" s="55" t="n">
        <v>9</v>
      </c>
      <c r="F10" s="55" t="n">
        <v>9</v>
      </c>
      <c r="G10" s="51" t="n">
        <v>10</v>
      </c>
      <c r="H10" s="51" t="n">
        <v>9</v>
      </c>
      <c r="I10" s="51" t="n">
        <v>9</v>
      </c>
      <c r="J10" s="51" t="n"/>
      <c r="K10" s="51" t="n">
        <v>9</v>
      </c>
      <c r="L10" s="51" t="n">
        <v>10</v>
      </c>
      <c r="M10" s="55" t="n"/>
      <c r="N10" s="51" t="n">
        <v>10</v>
      </c>
      <c r="O10" s="51" t="n"/>
      <c r="P10" s="51" t="n"/>
      <c r="Q10" t="n">
        <v>9</v>
      </c>
      <c r="R10" t="n">
        <v>9</v>
      </c>
      <c r="S10" t="n">
        <v>9</v>
      </c>
      <c r="T10" t="n">
        <v>9</v>
      </c>
      <c r="U10" s="89" t="n"/>
      <c r="V10" s="41" t="n"/>
    </row>
    <row r="11" ht="19.5" customHeight="1" s="70">
      <c r="A11" s="90" t="n"/>
      <c r="B11" s="84" t="inlineStr">
        <is>
          <t>Strategic Plan Development &amp; Deployment  (Part-II)
Mr Umesh Ghimirey, Sr.DGM (QM/BAE)</t>
        </is>
      </c>
      <c r="C11" s="50" t="inlineStr">
        <is>
          <t>Course Contenet</t>
        </is>
      </c>
      <c r="D11" s="51" t="n">
        <v>10</v>
      </c>
      <c r="E11" s="51" t="n">
        <v>9</v>
      </c>
      <c r="F11" s="51" t="n">
        <v>9</v>
      </c>
      <c r="G11" s="51" t="n">
        <v>10</v>
      </c>
      <c r="H11" s="51" t="n">
        <v>9</v>
      </c>
      <c r="I11" s="51" t="n">
        <v>9</v>
      </c>
      <c r="J11" s="51" t="n"/>
      <c r="K11" s="51" t="n">
        <v>9</v>
      </c>
      <c r="L11" s="51" t="n">
        <v>10</v>
      </c>
      <c r="M11" s="51" t="n"/>
      <c r="N11" s="51" t="n">
        <v>10</v>
      </c>
      <c r="O11" s="51" t="n"/>
      <c r="P11" s="51" t="n"/>
      <c r="Q11" t="n">
        <v>10</v>
      </c>
      <c r="R11" t="n">
        <v>10</v>
      </c>
      <c r="S11" t="n">
        <v>10</v>
      </c>
      <c r="T11" t="n">
        <v>10</v>
      </c>
      <c r="U11" s="89" t="n"/>
      <c r="V11" s="41" t="n"/>
    </row>
    <row r="12" ht="19.5" customHeight="1" s="70">
      <c r="A12" s="90" t="n"/>
      <c r="B12" s="90" t="n"/>
      <c r="C12" s="50" t="inlineStr">
        <is>
          <t>Structure &amp; Flow</t>
        </is>
      </c>
      <c r="D12" s="51" t="n">
        <v>10</v>
      </c>
      <c r="E12" s="51" t="n">
        <v>9</v>
      </c>
      <c r="F12" s="51" t="n">
        <v>9</v>
      </c>
      <c r="G12" s="51" t="n">
        <v>10</v>
      </c>
      <c r="H12" s="51" t="n">
        <v>9</v>
      </c>
      <c r="I12" s="51" t="n">
        <v>9</v>
      </c>
      <c r="J12" s="51" t="n"/>
      <c r="K12" s="51" t="n">
        <v>9</v>
      </c>
      <c r="L12" s="51" t="n">
        <v>10</v>
      </c>
      <c r="M12" s="51" t="n"/>
      <c r="N12" s="51" t="n">
        <v>10</v>
      </c>
      <c r="O12" s="51" t="n"/>
      <c r="P12" s="51" t="n"/>
      <c r="Q12" t="n">
        <v>10</v>
      </c>
      <c r="R12" t="n">
        <v>10</v>
      </c>
      <c r="S12" t="n">
        <v>10</v>
      </c>
      <c r="T12" t="n">
        <v>9</v>
      </c>
      <c r="U12" s="89" t="n"/>
      <c r="V12" s="41" t="n"/>
    </row>
    <row r="13" ht="19.5" customHeight="1" s="70">
      <c r="A13" s="90" t="n"/>
      <c r="B13" s="90" t="n"/>
      <c r="C13" s="50" t="inlineStr">
        <is>
          <t>Time Management</t>
        </is>
      </c>
      <c r="D13" s="51" t="n">
        <v>10</v>
      </c>
      <c r="E13" s="51" t="n">
        <v>9</v>
      </c>
      <c r="F13" s="51" t="n">
        <v>9</v>
      </c>
      <c r="G13" s="51" t="n">
        <v>10</v>
      </c>
      <c r="H13" s="51" t="n">
        <v>9</v>
      </c>
      <c r="I13" s="51" t="n">
        <v>9</v>
      </c>
      <c r="J13" s="51" t="n"/>
      <c r="K13" s="51" t="n">
        <v>9</v>
      </c>
      <c r="L13" s="51" t="n">
        <v>10</v>
      </c>
      <c r="M13" s="51" t="n"/>
      <c r="N13" s="51" t="n">
        <v>10</v>
      </c>
      <c r="O13" s="51" t="n"/>
      <c r="P13" s="51" t="n"/>
      <c r="Q13" t="n">
        <v>10</v>
      </c>
      <c r="R13" t="n">
        <v>10</v>
      </c>
      <c r="S13" t="n">
        <v>10</v>
      </c>
      <c r="T13" t="n">
        <v>9</v>
      </c>
      <c r="U13" s="89" t="n"/>
      <c r="V13" s="41" t="n"/>
    </row>
    <row r="14" ht="19.5" customHeight="1" s="70">
      <c r="A14" s="90" t="n"/>
      <c r="B14" s="90" t="n"/>
      <c r="C14" s="53" t="inlineStr">
        <is>
          <t>Faculty Delivery</t>
        </is>
      </c>
      <c r="D14" s="53" t="n">
        <v>10</v>
      </c>
      <c r="E14" s="53" t="n">
        <v>9</v>
      </c>
      <c r="F14" s="53" t="n">
        <v>9</v>
      </c>
      <c r="G14" s="51" t="n">
        <v>10</v>
      </c>
      <c r="H14" s="51" t="n">
        <v>9</v>
      </c>
      <c r="I14" s="51" t="n">
        <v>9</v>
      </c>
      <c r="J14" s="51" t="n"/>
      <c r="K14" s="51" t="n">
        <v>9</v>
      </c>
      <c r="L14" s="51" t="n">
        <v>10</v>
      </c>
      <c r="M14" s="53" t="n"/>
      <c r="N14" s="51" t="n">
        <v>10</v>
      </c>
      <c r="O14" s="51" t="n"/>
      <c r="P14" s="51" t="n"/>
      <c r="Q14" t="n">
        <v>10</v>
      </c>
      <c r="R14" t="n">
        <v>10</v>
      </c>
      <c r="S14" t="n">
        <v>9</v>
      </c>
      <c r="T14" t="n">
        <v>9</v>
      </c>
      <c r="U14" s="89" t="n"/>
      <c r="V14" s="41" t="n"/>
    </row>
    <row r="15" ht="19.5" customHeight="1" s="70">
      <c r="A15" s="88" t="n"/>
      <c r="B15" s="88" t="n"/>
      <c r="C15" s="53" t="inlineStr">
        <is>
          <t>Faculty Participants Interaction</t>
        </is>
      </c>
      <c r="D15" s="55" t="n">
        <v>10</v>
      </c>
      <c r="E15" s="55" t="n">
        <v>9</v>
      </c>
      <c r="F15" s="55" t="n">
        <v>9</v>
      </c>
      <c r="G15" s="51" t="n">
        <v>10</v>
      </c>
      <c r="H15" s="51" t="n">
        <v>9</v>
      </c>
      <c r="I15" s="51" t="n">
        <v>9</v>
      </c>
      <c r="J15" s="51" t="n"/>
      <c r="K15" s="51" t="n">
        <v>9</v>
      </c>
      <c r="L15" s="51" t="n">
        <v>10</v>
      </c>
      <c r="M15" s="55" t="n"/>
      <c r="N15" s="51" t="n">
        <v>10</v>
      </c>
      <c r="O15" s="51" t="n"/>
      <c r="P15" s="51" t="n"/>
      <c r="Q15" t="n">
        <v>10</v>
      </c>
      <c r="R15" t="n">
        <v>10</v>
      </c>
      <c r="S15" t="n">
        <v>10</v>
      </c>
      <c r="T15" t="n">
        <v>10</v>
      </c>
      <c r="U15" s="89" t="n"/>
      <c r="V15" s="41" t="n"/>
    </row>
    <row r="16" ht="19.5" customHeight="1" s="70">
      <c r="A16" s="48" t="inlineStr">
        <is>
          <t>DAY 2
(04-08-2026)</t>
        </is>
      </c>
      <c r="B16" s="84" t="inlineStr">
        <is>
          <t>Leadership (Part-I) - Continuation 
Mr Surendra Singh , DGM (QM/BAE)</t>
        </is>
      </c>
      <c r="C16" s="50" t="inlineStr">
        <is>
          <t>Course Contenet</t>
        </is>
      </c>
      <c r="D16" s="51" t="n">
        <v>10</v>
      </c>
      <c r="E16" s="51" t="n">
        <v>10</v>
      </c>
      <c r="F16" s="51" t="n">
        <v>9</v>
      </c>
      <c r="G16" s="51" t="n">
        <v>10</v>
      </c>
      <c r="H16" s="51" t="n">
        <v>9</v>
      </c>
      <c r="I16" s="51" t="n">
        <v>9</v>
      </c>
      <c r="J16" s="51" t="n"/>
      <c r="K16" s="51" t="n">
        <v>9</v>
      </c>
      <c r="L16" s="51" t="n">
        <v>10</v>
      </c>
      <c r="M16" s="51" t="n"/>
      <c r="N16" s="51" t="n">
        <v>10</v>
      </c>
      <c r="O16" s="51" t="n"/>
      <c r="P16" s="51" t="n"/>
      <c r="Q16" t="n">
        <v>10</v>
      </c>
      <c r="R16" t="n">
        <v>10</v>
      </c>
      <c r="S16" t="n">
        <v>9</v>
      </c>
      <c r="T16" t="n">
        <v>10</v>
      </c>
      <c r="U16" s="89" t="n"/>
      <c r="V16" s="41" t="n"/>
    </row>
    <row r="17" ht="19.5" customHeight="1" s="70">
      <c r="A17" s="90" t="n"/>
      <c r="B17" s="90" t="n"/>
      <c r="C17" s="50" t="inlineStr">
        <is>
          <t>Structure &amp; Flow</t>
        </is>
      </c>
      <c r="D17" s="51" t="n">
        <v>10</v>
      </c>
      <c r="E17" s="51" t="n">
        <v>9</v>
      </c>
      <c r="F17" s="51" t="n">
        <v>9</v>
      </c>
      <c r="G17" s="51" t="n">
        <v>10</v>
      </c>
      <c r="H17" s="51" t="n">
        <v>9</v>
      </c>
      <c r="I17" s="51" t="n">
        <v>9</v>
      </c>
      <c r="J17" s="51" t="n"/>
      <c r="K17" s="51" t="n">
        <v>9</v>
      </c>
      <c r="L17" s="51" t="n">
        <v>10</v>
      </c>
      <c r="M17" s="51" t="n"/>
      <c r="N17" s="51" t="n">
        <v>10</v>
      </c>
      <c r="O17" s="51" t="n"/>
      <c r="P17" s="51" t="n"/>
      <c r="Q17" t="n">
        <v>10</v>
      </c>
      <c r="R17" t="n">
        <v>10</v>
      </c>
      <c r="S17" t="n">
        <v>9</v>
      </c>
      <c r="T17" t="n">
        <v>9</v>
      </c>
      <c r="U17" s="89" t="n"/>
      <c r="V17" s="41" t="n"/>
    </row>
    <row r="18" ht="19.5" customHeight="1" s="70">
      <c r="A18" s="90" t="n"/>
      <c r="B18" s="90" t="n"/>
      <c r="C18" s="50" t="inlineStr">
        <is>
          <t>Time Management</t>
        </is>
      </c>
      <c r="D18" s="51" t="n">
        <v>10</v>
      </c>
      <c r="E18" s="51" t="n">
        <v>9</v>
      </c>
      <c r="F18" s="51" t="n">
        <v>9</v>
      </c>
      <c r="G18" s="51" t="n">
        <v>10</v>
      </c>
      <c r="H18" s="51" t="n">
        <v>9</v>
      </c>
      <c r="I18" s="51" t="n">
        <v>9</v>
      </c>
      <c r="J18" s="51" t="n"/>
      <c r="K18" s="51" t="n">
        <v>9</v>
      </c>
      <c r="L18" s="51" t="n">
        <v>10</v>
      </c>
      <c r="M18" s="51" t="n"/>
      <c r="N18" s="51" t="n">
        <v>10</v>
      </c>
      <c r="O18" s="51" t="n"/>
      <c r="P18" s="51" t="n"/>
      <c r="Q18" t="n">
        <v>10</v>
      </c>
      <c r="R18" t="n">
        <v>10</v>
      </c>
      <c r="S18" t="n">
        <v>10</v>
      </c>
      <c r="T18" t="n">
        <v>9</v>
      </c>
      <c r="U18" s="89" t="n"/>
      <c r="V18" s="41" t="n"/>
    </row>
    <row r="19" ht="19.5" customHeight="1" s="70">
      <c r="A19" s="90" t="n"/>
      <c r="B19" s="90" t="n"/>
      <c r="C19" s="53" t="inlineStr">
        <is>
          <t>Faculty Delivery</t>
        </is>
      </c>
      <c r="D19" s="53" t="n">
        <v>10</v>
      </c>
      <c r="E19" s="53" t="n">
        <v>9</v>
      </c>
      <c r="F19" s="51" t="n">
        <v>9</v>
      </c>
      <c r="G19" s="51" t="n">
        <v>10</v>
      </c>
      <c r="H19" s="51" t="n">
        <v>9</v>
      </c>
      <c r="I19" s="51" t="n">
        <v>9</v>
      </c>
      <c r="J19" s="51" t="n"/>
      <c r="K19" s="51" t="n">
        <v>9</v>
      </c>
      <c r="L19" s="51" t="n">
        <v>10</v>
      </c>
      <c r="M19" s="53" t="n"/>
      <c r="N19" s="51" t="n">
        <v>10</v>
      </c>
      <c r="O19" s="51" t="n"/>
      <c r="P19" s="51" t="n"/>
      <c r="Q19" t="n">
        <v>10</v>
      </c>
      <c r="R19" t="n">
        <v>10</v>
      </c>
      <c r="S19" t="n">
        <v>10</v>
      </c>
      <c r="T19" t="n">
        <v>9</v>
      </c>
      <c r="U19" s="89" t="n"/>
      <c r="V19" s="41" t="n"/>
    </row>
    <row r="20" ht="19.5" customHeight="1" s="70">
      <c r="A20" s="90" t="n"/>
      <c r="B20" s="88" t="n"/>
      <c r="C20" s="53" t="inlineStr">
        <is>
          <t>Faculty Participants Interaction</t>
        </is>
      </c>
      <c r="D20" s="55" t="n">
        <v>10</v>
      </c>
      <c r="E20" s="55" t="n">
        <v>10</v>
      </c>
      <c r="F20" s="51" t="n">
        <v>9</v>
      </c>
      <c r="G20" s="51" t="n">
        <v>10</v>
      </c>
      <c r="H20" s="51" t="n">
        <v>9</v>
      </c>
      <c r="I20" s="51" t="n">
        <v>9</v>
      </c>
      <c r="J20" s="51" t="n"/>
      <c r="K20" s="51" t="n">
        <v>9</v>
      </c>
      <c r="L20" s="51" t="n">
        <v>10</v>
      </c>
      <c r="M20" s="55" t="n"/>
      <c r="N20" s="51" t="n">
        <v>10</v>
      </c>
      <c r="O20" s="51" t="n"/>
      <c r="P20" s="51" t="n"/>
      <c r="Q20" t="n">
        <v>10</v>
      </c>
      <c r="R20" t="n">
        <v>10</v>
      </c>
      <c r="S20" t="n">
        <v>10</v>
      </c>
      <c r="T20" t="n">
        <v>9</v>
      </c>
      <c r="U20" s="89" t="n"/>
      <c r="V20" s="41" t="n"/>
    </row>
    <row r="21" ht="19.5" customHeight="1" s="70">
      <c r="A21" s="90" t="n"/>
      <c r="B21" s="84" t="inlineStr">
        <is>
          <t>Strategic Plan Development &amp; Deployment  (Part-II)-Continuation
Mr Umesh Ghimirey, Sr.DGM (QM/BAE)</t>
        </is>
      </c>
      <c r="C21" s="50" t="inlineStr">
        <is>
          <t>Course Contenet</t>
        </is>
      </c>
      <c r="D21" s="51" t="n">
        <v>10</v>
      </c>
      <c r="E21" s="51" t="n">
        <v>10</v>
      </c>
      <c r="F21" s="51" t="n">
        <v>9</v>
      </c>
      <c r="G21" s="51" t="n">
        <v>10</v>
      </c>
      <c r="H21" s="51" t="n">
        <v>9</v>
      </c>
      <c r="I21" s="51" t="n">
        <v>9</v>
      </c>
      <c r="J21" s="51" t="n"/>
      <c r="K21" s="51" t="n">
        <v>9</v>
      </c>
      <c r="L21" s="51" t="n">
        <v>10</v>
      </c>
      <c r="M21" s="51" t="n"/>
      <c r="N21" s="51" t="n">
        <v>10</v>
      </c>
      <c r="O21" s="51" t="n"/>
      <c r="P21" s="51" t="n"/>
      <c r="Q21" t="n">
        <v>10</v>
      </c>
      <c r="R21" t="n">
        <v>10</v>
      </c>
      <c r="S21" t="n">
        <v>10</v>
      </c>
      <c r="T21" t="n">
        <v>10</v>
      </c>
      <c r="U21" s="89" t="n"/>
      <c r="V21" s="41" t="n"/>
    </row>
    <row r="22" ht="19.5" customHeight="1" s="70">
      <c r="A22" s="90" t="n"/>
      <c r="B22" s="90" t="n"/>
      <c r="C22" s="50" t="inlineStr">
        <is>
          <t>Structure &amp; Flow</t>
        </is>
      </c>
      <c r="D22" s="51" t="n">
        <v>10</v>
      </c>
      <c r="E22" s="51" t="n">
        <v>9</v>
      </c>
      <c r="F22" s="51" t="n">
        <v>9</v>
      </c>
      <c r="G22" s="51" t="n">
        <v>10</v>
      </c>
      <c r="H22" s="51" t="n">
        <v>9</v>
      </c>
      <c r="I22" s="51" t="n">
        <v>9</v>
      </c>
      <c r="J22" s="51" t="n"/>
      <c r="K22" s="51" t="n">
        <v>9</v>
      </c>
      <c r="L22" s="51" t="n">
        <v>10</v>
      </c>
      <c r="M22" s="51" t="n"/>
      <c r="N22" s="51" t="n">
        <v>10</v>
      </c>
      <c r="O22" s="51" t="n"/>
      <c r="P22" s="51" t="n"/>
      <c r="Q22" t="n">
        <v>10</v>
      </c>
      <c r="R22" t="n">
        <v>10</v>
      </c>
      <c r="S22" t="n">
        <v>9</v>
      </c>
      <c r="T22" t="n">
        <v>10</v>
      </c>
      <c r="U22" s="89" t="n"/>
      <c r="V22" s="41" t="n"/>
    </row>
    <row r="23" ht="19.5" customHeight="1" s="70">
      <c r="A23" s="90" t="n"/>
      <c r="B23" s="90" t="n"/>
      <c r="C23" s="50" t="inlineStr">
        <is>
          <t>Time Management</t>
        </is>
      </c>
      <c r="D23" s="51" t="n">
        <v>10</v>
      </c>
      <c r="E23" s="51" t="n">
        <v>9</v>
      </c>
      <c r="F23" s="51" t="n">
        <v>9</v>
      </c>
      <c r="G23" s="51" t="n">
        <v>10</v>
      </c>
      <c r="H23" s="51" t="n">
        <v>9</v>
      </c>
      <c r="I23" s="51" t="n">
        <v>9</v>
      </c>
      <c r="J23" s="51" t="n"/>
      <c r="K23" s="51" t="n">
        <v>9</v>
      </c>
      <c r="L23" s="51" t="n">
        <v>10</v>
      </c>
      <c r="M23" s="51" t="n"/>
      <c r="N23" s="51" t="n">
        <v>10</v>
      </c>
      <c r="O23" s="51" t="n"/>
      <c r="P23" s="51" t="n"/>
      <c r="Q23" t="n">
        <v>10</v>
      </c>
      <c r="R23" t="n">
        <v>10</v>
      </c>
      <c r="S23" t="n">
        <v>10</v>
      </c>
      <c r="T23" t="n">
        <v>10</v>
      </c>
      <c r="U23" s="89" t="n"/>
      <c r="V23" s="41" t="n"/>
    </row>
    <row r="24" ht="19.5" customHeight="1" s="70">
      <c r="A24" s="90" t="n"/>
      <c r="B24" s="90" t="n"/>
      <c r="C24" s="53" t="inlineStr">
        <is>
          <t>Faculty Delivery</t>
        </is>
      </c>
      <c r="D24" s="53" t="n">
        <v>10</v>
      </c>
      <c r="E24" s="53" t="n">
        <v>9</v>
      </c>
      <c r="F24" s="51" t="n">
        <v>9</v>
      </c>
      <c r="G24" s="51" t="n">
        <v>10</v>
      </c>
      <c r="H24" s="51" t="n">
        <v>9</v>
      </c>
      <c r="I24" s="51" t="n">
        <v>9</v>
      </c>
      <c r="J24" s="51" t="n"/>
      <c r="K24" s="51" t="n">
        <v>9</v>
      </c>
      <c r="L24" s="51" t="n">
        <v>10</v>
      </c>
      <c r="M24" s="53" t="n"/>
      <c r="N24" s="51" t="n">
        <v>10</v>
      </c>
      <c r="O24" s="51" t="n"/>
      <c r="P24" s="51" t="n"/>
      <c r="Q24" t="n">
        <v>10</v>
      </c>
      <c r="R24" t="n">
        <v>10</v>
      </c>
      <c r="S24" t="n">
        <v>10</v>
      </c>
      <c r="T24" t="n">
        <v>10</v>
      </c>
      <c r="U24" s="89" t="n"/>
      <c r="V24" s="41" t="n"/>
    </row>
    <row r="25" ht="19.5" customHeight="1" s="70">
      <c r="A25" s="88" t="n"/>
      <c r="B25" s="88" t="n"/>
      <c r="C25" s="53" t="inlineStr">
        <is>
          <t>Faculty Participants Interaction</t>
        </is>
      </c>
      <c r="D25" s="55" t="n">
        <v>10</v>
      </c>
      <c r="E25" s="55" t="n">
        <v>10</v>
      </c>
      <c r="F25" s="51" t="n">
        <v>9</v>
      </c>
      <c r="G25" s="51" t="n">
        <v>10</v>
      </c>
      <c r="H25" s="51" t="n">
        <v>9</v>
      </c>
      <c r="I25" s="51" t="n">
        <v>9</v>
      </c>
      <c r="J25" s="51" t="n"/>
      <c r="K25" s="51" t="n">
        <v>9</v>
      </c>
      <c r="L25" s="51" t="n">
        <v>10</v>
      </c>
      <c r="M25" s="55" t="n"/>
      <c r="N25" s="51" t="n">
        <v>10</v>
      </c>
      <c r="O25" s="51" t="n"/>
      <c r="P25" s="51" t="n"/>
      <c r="Q25" t="n">
        <v>10</v>
      </c>
      <c r="R25" t="n">
        <v>10</v>
      </c>
      <c r="S25" t="n">
        <v>10</v>
      </c>
      <c r="T25" t="n">
        <v>10</v>
      </c>
      <c r="U25" s="89" t="n"/>
      <c r="V25" s="41" t="n"/>
    </row>
    <row r="26" ht="19.5" customHeight="1" s="70">
      <c r="A26" s="48" t="inlineStr">
        <is>
          <t>DAY 3
(05-08-2026)</t>
        </is>
      </c>
      <c r="B26" s="84" t="inlineStr">
        <is>
          <t>Leadership  (Part-I) Continuation 
Dr B Kishore (External Faculty)</t>
        </is>
      </c>
      <c r="C26" s="50" t="inlineStr">
        <is>
          <t>Course Contenet</t>
        </is>
      </c>
      <c r="D26" s="51" t="n">
        <v>10</v>
      </c>
      <c r="E26" s="51" t="n">
        <v>9</v>
      </c>
      <c r="F26" s="51" t="n">
        <v>9</v>
      </c>
      <c r="G26" s="51" t="n">
        <v>9</v>
      </c>
      <c r="H26" s="51" t="n">
        <v>9</v>
      </c>
      <c r="I26" s="51" t="n">
        <v>9</v>
      </c>
      <c r="J26" s="51" t="n"/>
      <c r="K26" s="51" t="n">
        <v>9</v>
      </c>
      <c r="L26" s="51" t="n">
        <v>10</v>
      </c>
      <c r="M26" s="51" t="n"/>
      <c r="N26" s="51" t="n">
        <v>10</v>
      </c>
      <c r="O26" s="51" t="n"/>
      <c r="P26" s="51" t="n"/>
      <c r="Q26" t="n">
        <v>10</v>
      </c>
      <c r="R26" t="n">
        <v>9</v>
      </c>
      <c r="S26" t="n">
        <v>9</v>
      </c>
      <c r="T26" t="n">
        <v>10</v>
      </c>
      <c r="U26" s="89" t="n"/>
      <c r="V26" s="41" t="n"/>
    </row>
    <row r="27" ht="19.5" customHeight="1" s="70">
      <c r="A27" s="90" t="n"/>
      <c r="B27" s="90" t="n"/>
      <c r="C27" s="50" t="inlineStr">
        <is>
          <t>Structure &amp; Flow</t>
        </is>
      </c>
      <c r="D27" s="51" t="n">
        <v>10</v>
      </c>
      <c r="E27" s="51" t="n">
        <v>8</v>
      </c>
      <c r="F27" s="51" t="n">
        <v>9</v>
      </c>
      <c r="G27" s="51" t="n">
        <v>9</v>
      </c>
      <c r="H27" s="51" t="n">
        <v>9</v>
      </c>
      <c r="I27" s="51" t="n">
        <v>9</v>
      </c>
      <c r="J27" s="51" t="n"/>
      <c r="K27" s="51" t="n">
        <v>9</v>
      </c>
      <c r="L27" s="51" t="n">
        <v>10</v>
      </c>
      <c r="M27" s="51" t="n"/>
      <c r="N27" s="51" t="n">
        <v>9</v>
      </c>
      <c r="O27" s="51" t="n"/>
      <c r="P27" s="51" t="n"/>
      <c r="Q27" t="n">
        <v>10</v>
      </c>
      <c r="R27" t="n">
        <v>10</v>
      </c>
      <c r="S27" t="n">
        <v>9</v>
      </c>
      <c r="T27" t="n">
        <v>9</v>
      </c>
      <c r="U27" s="89" t="n"/>
      <c r="V27" s="41" t="n"/>
    </row>
    <row r="28" ht="19.5" customHeight="1" s="70">
      <c r="A28" s="90" t="n"/>
      <c r="B28" s="90" t="n"/>
      <c r="C28" s="50" t="inlineStr">
        <is>
          <t>Time Management</t>
        </is>
      </c>
      <c r="D28" s="51" t="n">
        <v>10</v>
      </c>
      <c r="E28" s="51" t="n">
        <v>10</v>
      </c>
      <c r="F28" s="51" t="n">
        <v>9</v>
      </c>
      <c r="G28" s="51" t="n">
        <v>9</v>
      </c>
      <c r="H28" s="51" t="n">
        <v>9</v>
      </c>
      <c r="I28" s="51" t="n">
        <v>9</v>
      </c>
      <c r="J28" s="51" t="n"/>
      <c r="K28" s="51" t="n">
        <v>9</v>
      </c>
      <c r="L28" s="51" t="n">
        <v>10</v>
      </c>
      <c r="M28" s="51" t="n"/>
      <c r="N28" s="51" t="n">
        <v>10</v>
      </c>
      <c r="O28" s="51" t="n"/>
      <c r="P28" s="51" t="n"/>
      <c r="Q28" t="n">
        <v>10</v>
      </c>
      <c r="R28" t="n">
        <v>10</v>
      </c>
      <c r="S28" t="n">
        <v>9</v>
      </c>
      <c r="T28" t="n">
        <v>10</v>
      </c>
      <c r="U28" s="89" t="n"/>
      <c r="V28" s="41" t="n"/>
    </row>
    <row r="29" ht="19.5" customHeight="1" s="70">
      <c r="A29" s="90" t="n"/>
      <c r="B29" s="90" t="n"/>
      <c r="C29" s="53" t="inlineStr">
        <is>
          <t>Faculty Delivery</t>
        </is>
      </c>
      <c r="D29" s="53" t="n">
        <v>10</v>
      </c>
      <c r="E29" s="53" t="n">
        <v>9</v>
      </c>
      <c r="F29" s="51" t="n">
        <v>9</v>
      </c>
      <c r="G29" s="51" t="n">
        <v>9</v>
      </c>
      <c r="H29" s="51" t="n">
        <v>9</v>
      </c>
      <c r="I29" s="51" t="n">
        <v>9</v>
      </c>
      <c r="J29" s="51" t="n"/>
      <c r="K29" s="51" t="n">
        <v>9</v>
      </c>
      <c r="L29" s="51" t="n">
        <v>10</v>
      </c>
      <c r="M29" s="53" t="n"/>
      <c r="N29" s="51" t="n">
        <v>10</v>
      </c>
      <c r="O29" s="51" t="n"/>
      <c r="P29" s="51" t="n"/>
      <c r="Q29" t="n">
        <v>10</v>
      </c>
      <c r="R29" t="n">
        <v>9</v>
      </c>
      <c r="S29" t="n">
        <v>9</v>
      </c>
      <c r="T29" t="n">
        <v>10</v>
      </c>
      <c r="U29" s="89" t="n"/>
      <c r="V29" s="41" t="n"/>
    </row>
    <row r="30" ht="19.5" customHeight="1" s="70">
      <c r="A30" s="90" t="n"/>
      <c r="B30" s="88" t="n"/>
      <c r="C30" s="53" t="inlineStr">
        <is>
          <t>Faculty Participants Interaction</t>
        </is>
      </c>
      <c r="D30" s="55" t="n">
        <v>10</v>
      </c>
      <c r="E30" s="55" t="n">
        <v>9</v>
      </c>
      <c r="F30" s="51" t="n">
        <v>9</v>
      </c>
      <c r="G30" s="51" t="n">
        <v>9</v>
      </c>
      <c r="H30" s="51" t="n">
        <v>9</v>
      </c>
      <c r="I30" s="51" t="n">
        <v>9</v>
      </c>
      <c r="J30" s="51" t="n"/>
      <c r="K30" s="51" t="n">
        <v>9</v>
      </c>
      <c r="L30" s="51" t="n">
        <v>10</v>
      </c>
      <c r="M30" s="55" t="n"/>
      <c r="N30" s="51" t="n">
        <v>9</v>
      </c>
      <c r="O30" s="51" t="n"/>
      <c r="P30" s="51" t="n"/>
      <c r="Q30" t="n">
        <v>10</v>
      </c>
      <c r="R30" t="n">
        <v>9</v>
      </c>
      <c r="S30" t="n">
        <v>9</v>
      </c>
      <c r="T30" t="n">
        <v>10</v>
      </c>
      <c r="U30" s="89" t="n"/>
      <c r="V30" s="41" t="n"/>
    </row>
    <row r="31" ht="19.5" customHeight="1" s="70">
      <c r="A31" s="90" t="n"/>
      <c r="B31" s="84" t="inlineStr">
        <is>
          <t>Strategic Plan Development &amp; Deployment  (Part-II) Chap 7C
Mr Umesh Ghimirey, Sr.DGM (QM/BAE)</t>
        </is>
      </c>
      <c r="C31" s="50" t="inlineStr">
        <is>
          <t>Course Contenet</t>
        </is>
      </c>
      <c r="D31" s="51" t="n">
        <v>10</v>
      </c>
      <c r="E31" s="51" t="n">
        <v>9</v>
      </c>
      <c r="F31" s="51" t="n">
        <v>9</v>
      </c>
      <c r="G31" s="51" t="n">
        <v>10</v>
      </c>
      <c r="H31" s="51" t="n">
        <v>9</v>
      </c>
      <c r="I31" s="51" t="n">
        <v>9</v>
      </c>
      <c r="J31" s="51" t="n"/>
      <c r="K31" s="51" t="n">
        <v>9</v>
      </c>
      <c r="L31" s="51" t="n">
        <v>10</v>
      </c>
      <c r="M31" s="55" t="n"/>
      <c r="N31" s="51" t="n">
        <v>10</v>
      </c>
      <c r="O31" s="51" t="n"/>
      <c r="P31" s="51" t="n"/>
      <c r="Q31" t="n">
        <v>10</v>
      </c>
      <c r="R31" t="n">
        <v>10</v>
      </c>
      <c r="S31" t="n">
        <v>9</v>
      </c>
      <c r="T31" t="n">
        <v>10</v>
      </c>
      <c r="U31" s="89" t="n"/>
      <c r="V31" s="41" t="n"/>
    </row>
    <row r="32" ht="19.5" customHeight="1" s="70">
      <c r="A32" s="90" t="n"/>
      <c r="B32" s="90" t="n"/>
      <c r="C32" s="50" t="inlineStr">
        <is>
          <t>Structure &amp; Flow</t>
        </is>
      </c>
      <c r="D32" s="51" t="n">
        <v>10</v>
      </c>
      <c r="E32" s="51" t="n">
        <v>9</v>
      </c>
      <c r="F32" s="51" t="n">
        <v>9</v>
      </c>
      <c r="G32" s="51" t="n">
        <v>10</v>
      </c>
      <c r="H32" s="51" t="n">
        <v>9</v>
      </c>
      <c r="I32" s="51" t="n">
        <v>9</v>
      </c>
      <c r="J32" s="51" t="n"/>
      <c r="K32" s="51" t="n">
        <v>9</v>
      </c>
      <c r="L32" s="51" t="n">
        <v>10</v>
      </c>
      <c r="M32" s="55" t="n"/>
      <c r="N32" s="51" t="n">
        <v>10</v>
      </c>
      <c r="O32" s="51" t="n"/>
      <c r="P32" s="51" t="n"/>
      <c r="Q32" t="n">
        <v>10</v>
      </c>
      <c r="R32" t="n">
        <v>10</v>
      </c>
      <c r="S32" t="n">
        <v>9</v>
      </c>
      <c r="T32" t="n">
        <v>10</v>
      </c>
      <c r="U32" s="89" t="n"/>
      <c r="V32" s="41" t="n"/>
    </row>
    <row r="33" ht="19.5" customHeight="1" s="70">
      <c r="A33" s="90" t="n"/>
      <c r="B33" s="90" t="n"/>
      <c r="C33" s="50" t="inlineStr">
        <is>
          <t>Time Management</t>
        </is>
      </c>
      <c r="D33" s="53" t="n">
        <v>10</v>
      </c>
      <c r="E33" s="53" t="n">
        <v>9</v>
      </c>
      <c r="F33" s="51" t="n">
        <v>9</v>
      </c>
      <c r="G33" s="51" t="n">
        <v>10</v>
      </c>
      <c r="H33" s="51" t="n">
        <v>9</v>
      </c>
      <c r="I33" s="51" t="n">
        <v>9</v>
      </c>
      <c r="J33" s="51" t="n"/>
      <c r="K33" s="51" t="n">
        <v>9</v>
      </c>
      <c r="L33" s="51" t="n">
        <v>10</v>
      </c>
      <c r="M33" s="55" t="n"/>
      <c r="N33" s="51" t="n">
        <v>10</v>
      </c>
      <c r="O33" s="51" t="n"/>
      <c r="P33" s="51" t="n"/>
      <c r="Q33" t="n">
        <v>10</v>
      </c>
      <c r="R33" t="n">
        <v>10</v>
      </c>
      <c r="S33" t="n">
        <v>9</v>
      </c>
      <c r="T33" t="n">
        <v>10</v>
      </c>
      <c r="U33" s="89" t="n"/>
      <c r="V33" s="41" t="n"/>
    </row>
    <row r="34" ht="19.5" customHeight="1" s="70">
      <c r="A34" s="90" t="n"/>
      <c r="B34" s="90" t="n"/>
      <c r="C34" s="53" t="inlineStr">
        <is>
          <t>Faculty Delivery</t>
        </is>
      </c>
      <c r="D34" s="53" t="n">
        <v>10</v>
      </c>
      <c r="E34" s="53" t="n">
        <v>10</v>
      </c>
      <c r="F34" s="51" t="n">
        <v>9</v>
      </c>
      <c r="G34" s="51" t="n">
        <v>10</v>
      </c>
      <c r="H34" s="51" t="n">
        <v>9</v>
      </c>
      <c r="I34" s="51" t="n">
        <v>9</v>
      </c>
      <c r="J34" s="51" t="n"/>
      <c r="K34" s="51" t="n">
        <v>9</v>
      </c>
      <c r="L34" s="51" t="n">
        <v>10</v>
      </c>
      <c r="M34" s="55" t="n"/>
      <c r="N34" s="51" t="n">
        <v>10</v>
      </c>
      <c r="O34" s="51" t="n"/>
      <c r="P34" s="51" t="n"/>
      <c r="Q34" t="n">
        <v>10</v>
      </c>
      <c r="R34" t="n">
        <v>10</v>
      </c>
      <c r="S34" t="n">
        <v>9</v>
      </c>
      <c r="T34" t="n">
        <v>10</v>
      </c>
      <c r="U34" s="89" t="n"/>
      <c r="V34" s="41" t="n"/>
    </row>
    <row r="35" ht="19.5" customHeight="1" s="70">
      <c r="A35" s="88" t="n"/>
      <c r="B35" s="88" t="n"/>
      <c r="C35" s="53" t="inlineStr">
        <is>
          <t>Faculty Participants Interaction</t>
        </is>
      </c>
      <c r="D35" s="55" t="n">
        <v>10</v>
      </c>
      <c r="E35" s="55" t="n">
        <v>10</v>
      </c>
      <c r="F35" s="51" t="n">
        <v>9</v>
      </c>
      <c r="G35" s="51" t="n">
        <v>10</v>
      </c>
      <c r="H35" s="51" t="n">
        <v>9</v>
      </c>
      <c r="I35" s="51" t="n">
        <v>9</v>
      </c>
      <c r="J35" s="51" t="n"/>
      <c r="K35" s="51" t="n">
        <v>9</v>
      </c>
      <c r="L35" s="51" t="n">
        <v>10</v>
      </c>
      <c r="M35" s="55" t="n"/>
      <c r="N35" s="51" t="n">
        <v>10</v>
      </c>
      <c r="O35" s="51" t="n"/>
      <c r="P35" s="51" t="n"/>
      <c r="Q35" t="n">
        <v>10</v>
      </c>
      <c r="R35" t="n">
        <v>10</v>
      </c>
      <c r="S35" t="n">
        <v>9</v>
      </c>
      <c r="T35" t="n">
        <v>10</v>
      </c>
      <c r="U35" s="89" t="n"/>
      <c r="V35" s="41" t="n"/>
    </row>
    <row r="36" ht="19.5" customHeight="1" s="70">
      <c r="A36" s="48" t="inlineStr">
        <is>
          <t>DAY 4
(06-08-2026)</t>
        </is>
      </c>
      <c r="B36" s="84" t="inlineStr">
        <is>
          <t>Management Elements &amp; Methods (Part-III-Chapter 8)
Mr Jagadeesh Kumar R (External Faculty)</t>
        </is>
      </c>
      <c r="C36" s="50" t="inlineStr">
        <is>
          <t>Course Contenet</t>
        </is>
      </c>
      <c r="D36" s="51" t="n">
        <v>10</v>
      </c>
      <c r="E36" s="51" t="n">
        <v>9</v>
      </c>
      <c r="F36" s="51" t="n">
        <v>9</v>
      </c>
      <c r="G36" s="51" t="n">
        <v>10</v>
      </c>
      <c r="H36" s="51" t="n">
        <v>9</v>
      </c>
      <c r="I36" s="51" t="n">
        <v>9</v>
      </c>
      <c r="J36" s="51" t="n"/>
      <c r="K36" s="51" t="n">
        <v>9</v>
      </c>
      <c r="L36" s="51" t="n">
        <v>9</v>
      </c>
      <c r="M36" s="51" t="n"/>
      <c r="N36" s="51" t="n">
        <v>10</v>
      </c>
      <c r="O36" s="51" t="n"/>
      <c r="P36" s="51" t="n"/>
      <c r="Q36" t="n">
        <v>10</v>
      </c>
      <c r="R36" t="n">
        <v>10</v>
      </c>
      <c r="S36" t="n">
        <v>9</v>
      </c>
      <c r="T36" t="n">
        <v>10</v>
      </c>
      <c r="U36" s="89" t="n"/>
      <c r="V36" s="41" t="n"/>
    </row>
    <row r="37" ht="19.5" customHeight="1" s="70">
      <c r="A37" s="90" t="n"/>
      <c r="B37" s="90" t="n"/>
      <c r="C37" s="50" t="inlineStr">
        <is>
          <t>Structure &amp; Flow</t>
        </is>
      </c>
      <c r="D37" s="51" t="n">
        <v>10</v>
      </c>
      <c r="E37" s="51" t="n">
        <v>9</v>
      </c>
      <c r="F37" s="51" t="n">
        <v>9</v>
      </c>
      <c r="G37" s="51" t="n">
        <v>10</v>
      </c>
      <c r="H37" s="51" t="n">
        <v>9</v>
      </c>
      <c r="I37" s="51" t="n">
        <v>9</v>
      </c>
      <c r="J37" s="51" t="n"/>
      <c r="K37" s="51" t="n">
        <v>9</v>
      </c>
      <c r="L37" s="51" t="n">
        <v>9</v>
      </c>
      <c r="M37" s="51" t="n"/>
      <c r="N37" s="51" t="n">
        <v>10</v>
      </c>
      <c r="O37" s="51" t="n"/>
      <c r="P37" s="51" t="n"/>
      <c r="Q37" t="n">
        <v>10</v>
      </c>
      <c r="R37" t="n">
        <v>9</v>
      </c>
      <c r="S37" t="n">
        <v>10</v>
      </c>
      <c r="T37" t="n">
        <v>10</v>
      </c>
      <c r="U37" s="89" t="n"/>
      <c r="V37" s="41" t="n"/>
    </row>
    <row r="38" ht="19.5" customHeight="1" s="70">
      <c r="A38" s="90" t="n"/>
      <c r="B38" s="90" t="n"/>
      <c r="C38" s="50" t="inlineStr">
        <is>
          <t>Time Management</t>
        </is>
      </c>
      <c r="D38" s="51" t="n">
        <v>10</v>
      </c>
      <c r="E38" s="51" t="n">
        <v>9</v>
      </c>
      <c r="F38" s="51" t="n">
        <v>9</v>
      </c>
      <c r="G38" s="51" t="n">
        <v>8</v>
      </c>
      <c r="H38" s="51" t="n">
        <v>9</v>
      </c>
      <c r="I38" s="51" t="n">
        <v>9</v>
      </c>
      <c r="J38" s="51" t="n"/>
      <c r="K38" s="51" t="n">
        <v>9</v>
      </c>
      <c r="L38" s="51" t="n">
        <v>9</v>
      </c>
      <c r="M38" s="51" t="n"/>
      <c r="N38" s="51" t="n">
        <v>10</v>
      </c>
      <c r="O38" s="51" t="n"/>
      <c r="P38" s="51" t="n"/>
      <c r="Q38" t="n">
        <v>10</v>
      </c>
      <c r="R38" t="n">
        <v>9</v>
      </c>
      <c r="S38" t="n">
        <v>10</v>
      </c>
      <c r="T38" t="n">
        <v>10</v>
      </c>
      <c r="U38" s="89" t="n"/>
      <c r="V38" s="41" t="n"/>
    </row>
    <row r="39" ht="19.5" customHeight="1" s="70">
      <c r="A39" s="90" t="n"/>
      <c r="B39" s="90" t="n"/>
      <c r="C39" s="53" t="inlineStr">
        <is>
          <t>Faculty Delivery</t>
        </is>
      </c>
      <c r="D39" s="53" t="n">
        <v>10</v>
      </c>
      <c r="E39" s="53" t="n">
        <v>10</v>
      </c>
      <c r="F39" s="53" t="n">
        <v>9</v>
      </c>
      <c r="G39" s="51" t="n">
        <v>10</v>
      </c>
      <c r="H39" s="51" t="n">
        <v>9</v>
      </c>
      <c r="I39" s="51" t="n">
        <v>9</v>
      </c>
      <c r="J39" s="51" t="n"/>
      <c r="K39" s="51" t="n">
        <v>9</v>
      </c>
      <c r="L39" s="51" t="n">
        <v>9</v>
      </c>
      <c r="M39" s="53" t="n"/>
      <c r="N39" s="51" t="n">
        <v>10</v>
      </c>
      <c r="O39" s="51" t="n"/>
      <c r="P39" s="51" t="n"/>
      <c r="Q39" t="n">
        <v>10</v>
      </c>
      <c r="R39" t="n">
        <v>9</v>
      </c>
      <c r="S39" t="n">
        <v>10</v>
      </c>
      <c r="T39" t="n">
        <v>10</v>
      </c>
      <c r="U39" s="89" t="n"/>
      <c r="V39" s="41" t="n"/>
    </row>
    <row r="40" ht="19.5" customHeight="1" s="70">
      <c r="A40" s="90" t="n"/>
      <c r="B40" s="88" t="n"/>
      <c r="C40" s="53" t="inlineStr">
        <is>
          <t>Faculty Participants Interaction</t>
        </is>
      </c>
      <c r="D40" s="55" t="n">
        <v>10</v>
      </c>
      <c r="E40" s="55" t="n">
        <v>10</v>
      </c>
      <c r="F40" s="55" t="n">
        <v>9</v>
      </c>
      <c r="G40" s="51" t="n">
        <v>10</v>
      </c>
      <c r="H40" s="51" t="n">
        <v>9</v>
      </c>
      <c r="I40" s="51" t="n">
        <v>9</v>
      </c>
      <c r="J40" s="51" t="n"/>
      <c r="K40" s="51" t="n">
        <v>9</v>
      </c>
      <c r="L40" s="51" t="n">
        <v>9</v>
      </c>
      <c r="M40" s="55" t="n"/>
      <c r="N40" s="51" t="n">
        <v>10</v>
      </c>
      <c r="O40" s="51" t="n"/>
      <c r="P40" s="51" t="n"/>
      <c r="Q40" t="n">
        <v>10</v>
      </c>
      <c r="R40" t="n">
        <v>10</v>
      </c>
      <c r="S40" t="n">
        <v>10</v>
      </c>
      <c r="T40" t="n">
        <v>10</v>
      </c>
      <c r="U40" s="89" t="n"/>
      <c r="V40" s="41" t="n"/>
    </row>
    <row r="41" ht="19.5" customHeight="1" s="70">
      <c r="A41" s="90" t="n"/>
      <c r="B41" s="84" t="inlineStr">
        <is>
          <t>Chapter 8 - (Risks &amp; Knowledgement Management)
Mrs Anupama M, Sr.DGM (BG/NS(S&amp;CS))</t>
        </is>
      </c>
      <c r="C41" s="50" t="inlineStr">
        <is>
          <t>Course Contenet</t>
        </is>
      </c>
      <c r="D41" s="51" t="n">
        <v>10</v>
      </c>
      <c r="E41" s="51" t="n">
        <v>9</v>
      </c>
      <c r="F41" s="51" t="n">
        <v>8</v>
      </c>
      <c r="G41" s="51" t="n">
        <v>9</v>
      </c>
      <c r="H41" s="51" t="n">
        <v>9</v>
      </c>
      <c r="I41" s="51" t="n">
        <v>9</v>
      </c>
      <c r="J41" s="51" t="n"/>
      <c r="K41" s="51" t="n">
        <v>9</v>
      </c>
      <c r="L41" s="51" t="n">
        <v>9</v>
      </c>
      <c r="M41" s="55" t="n"/>
      <c r="N41" s="51" t="n">
        <v>9</v>
      </c>
      <c r="O41" s="51" t="n"/>
      <c r="P41" s="51" t="n"/>
      <c r="Q41" t="n">
        <v>10</v>
      </c>
      <c r="R41" t="n">
        <v>10</v>
      </c>
      <c r="S41" t="n">
        <v>9</v>
      </c>
      <c r="T41" t="n">
        <v>10</v>
      </c>
      <c r="U41" s="89" t="n"/>
      <c r="V41" s="41" t="n"/>
    </row>
    <row r="42" ht="19.5" customHeight="1" s="70">
      <c r="A42" s="90" t="n"/>
      <c r="B42" s="90" t="n"/>
      <c r="C42" s="50" t="inlineStr">
        <is>
          <t>Structure &amp; Flow</t>
        </is>
      </c>
      <c r="D42" s="51" t="n">
        <v>10</v>
      </c>
      <c r="E42" s="51" t="n">
        <v>9</v>
      </c>
      <c r="F42" s="51" t="n">
        <v>8</v>
      </c>
      <c r="G42" s="51" t="n">
        <v>8</v>
      </c>
      <c r="H42" s="51" t="n">
        <v>8</v>
      </c>
      <c r="I42" s="51" t="n">
        <v>9</v>
      </c>
      <c r="J42" s="51" t="n"/>
      <c r="K42" s="51" t="n">
        <v>9</v>
      </c>
      <c r="L42" s="51" t="n">
        <v>9</v>
      </c>
      <c r="M42" s="55" t="n"/>
      <c r="N42" s="51" t="n">
        <v>9</v>
      </c>
      <c r="O42" s="51" t="n"/>
      <c r="P42" s="51" t="n"/>
      <c r="Q42" t="n">
        <v>9</v>
      </c>
      <c r="R42" t="n">
        <v>10</v>
      </c>
      <c r="S42" t="n">
        <v>9</v>
      </c>
      <c r="T42" t="n">
        <v>9</v>
      </c>
      <c r="U42" s="89" t="n"/>
      <c r="V42" s="41" t="n"/>
    </row>
    <row r="43" ht="19.5" customHeight="1" s="70">
      <c r="A43" s="90" t="n"/>
      <c r="B43" s="90" t="n"/>
      <c r="C43" s="50" t="inlineStr">
        <is>
          <t>Time Management</t>
        </is>
      </c>
      <c r="D43" s="53" t="n">
        <v>10</v>
      </c>
      <c r="E43" s="53" t="n">
        <v>8</v>
      </c>
      <c r="F43" s="53" t="n">
        <v>8</v>
      </c>
      <c r="G43" s="51" t="n">
        <v>6</v>
      </c>
      <c r="H43" s="51" t="n">
        <v>8</v>
      </c>
      <c r="I43" s="51" t="n">
        <v>9</v>
      </c>
      <c r="J43" s="51" t="n"/>
      <c r="K43" s="51" t="n">
        <v>9</v>
      </c>
      <c r="L43" s="51" t="n">
        <v>9</v>
      </c>
      <c r="M43" s="55" t="n"/>
      <c r="N43" s="51" t="n">
        <v>9</v>
      </c>
      <c r="O43" s="51" t="n"/>
      <c r="P43" s="51" t="n"/>
      <c r="Q43" t="n">
        <v>9</v>
      </c>
      <c r="R43" t="n">
        <v>10</v>
      </c>
      <c r="S43" t="n">
        <v>9</v>
      </c>
      <c r="T43" t="n">
        <v>9</v>
      </c>
      <c r="U43" s="89" t="n"/>
      <c r="V43" s="41" t="n"/>
    </row>
    <row r="44" ht="19.5" customHeight="1" s="70">
      <c r="A44" s="90" t="n"/>
      <c r="B44" s="90" t="n"/>
      <c r="C44" s="53" t="inlineStr">
        <is>
          <t>Faculty Delivery</t>
        </is>
      </c>
      <c r="D44" s="53" t="n">
        <v>10</v>
      </c>
      <c r="E44" s="53" t="n">
        <v>9</v>
      </c>
      <c r="F44" s="53" t="n">
        <v>8</v>
      </c>
      <c r="G44" s="51" t="n">
        <v>8</v>
      </c>
      <c r="H44" s="51" t="n">
        <v>9</v>
      </c>
      <c r="I44" s="51" t="n">
        <v>9</v>
      </c>
      <c r="J44" s="51" t="n"/>
      <c r="K44" s="51" t="n">
        <v>9</v>
      </c>
      <c r="L44" s="51" t="n">
        <v>9</v>
      </c>
      <c r="M44" s="55" t="n"/>
      <c r="N44" s="51" t="n">
        <v>9</v>
      </c>
      <c r="O44" s="51" t="n"/>
      <c r="P44" s="51" t="n"/>
      <c r="Q44" t="n">
        <v>9</v>
      </c>
      <c r="R44" t="n">
        <v>10</v>
      </c>
      <c r="S44" t="n">
        <v>9</v>
      </c>
      <c r="T44" t="n">
        <v>10</v>
      </c>
      <c r="U44" s="89" t="n"/>
      <c r="V44" s="41" t="n"/>
    </row>
    <row r="45" ht="19.5" customHeight="1" s="70">
      <c r="A45" s="88" t="n"/>
      <c r="B45" s="88" t="n"/>
      <c r="C45" s="53" t="inlineStr">
        <is>
          <t>Faculty Participants Interaction</t>
        </is>
      </c>
      <c r="D45" s="55" t="n">
        <v>10</v>
      </c>
      <c r="E45" s="55" t="n">
        <v>9</v>
      </c>
      <c r="F45" s="55" t="n">
        <v>8</v>
      </c>
      <c r="G45" s="51" t="n">
        <v>8</v>
      </c>
      <c r="H45" s="51" t="n">
        <v>9</v>
      </c>
      <c r="I45" s="51" t="n">
        <v>9</v>
      </c>
      <c r="J45" s="51" t="n"/>
      <c r="K45" s="51" t="n">
        <v>9</v>
      </c>
      <c r="L45" s="51" t="n">
        <v>9</v>
      </c>
      <c r="M45" s="55" t="n"/>
      <c r="N45" s="51" t="n">
        <v>9</v>
      </c>
      <c r="O45" s="51" t="n"/>
      <c r="P45" s="51" t="n"/>
      <c r="Q45" t="n">
        <v>9</v>
      </c>
      <c r="R45" t="n">
        <v>10</v>
      </c>
      <c r="S45" t="n">
        <v>9</v>
      </c>
      <c r="T45" t="n">
        <v>10</v>
      </c>
      <c r="U45" s="89" t="n"/>
      <c r="V45" s="41" t="n"/>
    </row>
    <row r="46" ht="19.5" customHeight="1" s="70">
      <c r="A46" s="48" t="inlineStr">
        <is>
          <t>DAY 5
(07-08-2026)</t>
        </is>
      </c>
      <c r="B46" s="84" t="inlineStr">
        <is>
          <t>Management Elements &amp; Methods (Part-III-Chapter 11)
Mr S K Das (External Faculty)</t>
        </is>
      </c>
      <c r="C46" s="50" t="inlineStr">
        <is>
          <t>Course Contenet</t>
        </is>
      </c>
      <c r="D46" s="51" t="n">
        <v>10</v>
      </c>
      <c r="E46" s="51" t="n">
        <v>9</v>
      </c>
      <c r="F46" s="51" t="n">
        <v>9</v>
      </c>
      <c r="G46" s="51" t="n">
        <v>8</v>
      </c>
      <c r="H46" s="51" t="n">
        <v>9</v>
      </c>
      <c r="I46" s="51" t="n">
        <v>9</v>
      </c>
      <c r="J46" s="51" t="n"/>
      <c r="K46" s="51" t="n">
        <v>9</v>
      </c>
      <c r="L46" s="51" t="n">
        <v>10</v>
      </c>
      <c r="M46" s="51" t="n"/>
      <c r="N46" s="51" t="n">
        <v>10</v>
      </c>
      <c r="O46" s="51" t="n"/>
      <c r="P46" s="51" t="n"/>
      <c r="Q46" t="n">
        <v>10</v>
      </c>
      <c r="R46" t="n">
        <v>10</v>
      </c>
      <c r="S46" t="n">
        <v>9</v>
      </c>
      <c r="T46" t="n">
        <v>10</v>
      </c>
      <c r="U46" s="89" t="n"/>
      <c r="V46" s="41" t="n"/>
    </row>
    <row r="47" ht="19.5" customHeight="1" s="70">
      <c r="A47" s="90" t="n"/>
      <c r="B47" s="90" t="n"/>
      <c r="C47" s="50" t="inlineStr">
        <is>
          <t>Structure &amp; Flow</t>
        </is>
      </c>
      <c r="D47" s="51" t="n">
        <v>10</v>
      </c>
      <c r="E47" s="51" t="n">
        <v>9</v>
      </c>
      <c r="F47" s="51" t="n">
        <v>9</v>
      </c>
      <c r="G47" s="51" t="n">
        <v>8</v>
      </c>
      <c r="H47" s="51" t="n">
        <v>9</v>
      </c>
      <c r="I47" s="51" t="n">
        <v>9</v>
      </c>
      <c r="J47" s="51" t="n"/>
      <c r="K47" s="51" t="n">
        <v>9</v>
      </c>
      <c r="L47" s="51" t="n">
        <v>10</v>
      </c>
      <c r="M47" s="51" t="n"/>
      <c r="N47" s="51" t="n">
        <v>10</v>
      </c>
      <c r="O47" s="51" t="n"/>
      <c r="P47" s="51" t="n"/>
      <c r="Q47" t="n">
        <v>9</v>
      </c>
      <c r="R47" t="n">
        <v>10</v>
      </c>
      <c r="S47" t="n">
        <v>9</v>
      </c>
      <c r="T47" t="n">
        <v>10</v>
      </c>
      <c r="U47" s="89" t="n"/>
      <c r="V47" s="41" t="n"/>
    </row>
    <row r="48" ht="19.5" customHeight="1" s="70">
      <c r="A48" s="90" t="n"/>
      <c r="B48" s="90" t="n"/>
      <c r="C48" s="50" t="inlineStr">
        <is>
          <t>Time Management</t>
        </is>
      </c>
      <c r="D48" s="51" t="n">
        <v>10</v>
      </c>
      <c r="E48" s="51" t="n">
        <v>10</v>
      </c>
      <c r="F48" s="51" t="n">
        <v>9</v>
      </c>
      <c r="G48" s="51" t="n">
        <v>6</v>
      </c>
      <c r="H48" s="51" t="n">
        <v>9</v>
      </c>
      <c r="I48" s="51" t="n">
        <v>9</v>
      </c>
      <c r="J48" s="51" t="n"/>
      <c r="K48" s="51" t="n">
        <v>9</v>
      </c>
      <c r="L48" s="51" t="n">
        <v>10</v>
      </c>
      <c r="M48" s="51" t="n"/>
      <c r="N48" s="51" t="n">
        <v>10</v>
      </c>
      <c r="O48" s="51" t="n"/>
      <c r="P48" s="51" t="n"/>
      <c r="Q48" t="n">
        <v>9</v>
      </c>
      <c r="R48" t="n">
        <v>10</v>
      </c>
      <c r="S48" t="n">
        <v>9</v>
      </c>
      <c r="T48" t="n">
        <v>10</v>
      </c>
      <c r="U48" s="89" t="n"/>
      <c r="V48" s="41" t="n"/>
    </row>
    <row r="49" ht="19.5" customHeight="1" s="70">
      <c r="A49" s="90" t="n"/>
      <c r="B49" s="90" t="n"/>
      <c r="C49" s="53" t="inlineStr">
        <is>
          <t>Faculty Delivery</t>
        </is>
      </c>
      <c r="D49" s="53" t="n">
        <v>10</v>
      </c>
      <c r="E49" s="53" t="n">
        <v>10</v>
      </c>
      <c r="F49" s="53" t="n">
        <v>9</v>
      </c>
      <c r="G49" s="51" t="n">
        <v>8</v>
      </c>
      <c r="H49" s="51" t="n">
        <v>9</v>
      </c>
      <c r="I49" s="51" t="n">
        <v>9</v>
      </c>
      <c r="J49" s="51" t="n"/>
      <c r="K49" s="51" t="n">
        <v>10</v>
      </c>
      <c r="L49" s="51" t="n">
        <v>10</v>
      </c>
      <c r="M49" s="53" t="n"/>
      <c r="N49" s="51" t="n">
        <v>10</v>
      </c>
      <c r="O49" s="51" t="n"/>
      <c r="P49" s="51" t="n"/>
      <c r="Q49" t="n">
        <v>9</v>
      </c>
      <c r="R49" t="n">
        <v>9</v>
      </c>
      <c r="S49" t="n">
        <v>9</v>
      </c>
      <c r="T49" t="n">
        <v>10</v>
      </c>
      <c r="U49" s="89" t="n"/>
      <c r="V49" s="41" t="n"/>
    </row>
    <row r="50" ht="19.5" customHeight="1" s="70">
      <c r="A50" s="90" t="n"/>
      <c r="B50" s="88" t="n"/>
      <c r="C50" s="53" t="inlineStr">
        <is>
          <t>Faculty Participants Interaction</t>
        </is>
      </c>
      <c r="D50" s="55" t="n">
        <v>10</v>
      </c>
      <c r="E50" s="55" t="n">
        <v>10</v>
      </c>
      <c r="F50" s="55" t="n">
        <v>9</v>
      </c>
      <c r="G50" s="51" t="n">
        <v>8</v>
      </c>
      <c r="H50" s="51" t="n">
        <v>9</v>
      </c>
      <c r="I50" s="51" t="n">
        <v>9</v>
      </c>
      <c r="J50" s="51" t="n"/>
      <c r="K50" s="51" t="n">
        <v>10</v>
      </c>
      <c r="L50" s="51" t="n">
        <v>10</v>
      </c>
      <c r="M50" s="55" t="n"/>
      <c r="N50" s="51" t="n">
        <v>10</v>
      </c>
      <c r="O50" s="51" t="n"/>
      <c r="P50" s="51" t="n"/>
      <c r="Q50" t="n">
        <v>9</v>
      </c>
      <c r="R50" t="n">
        <v>10</v>
      </c>
      <c r="S50" t="n">
        <v>9</v>
      </c>
      <c r="T50" t="n">
        <v>10</v>
      </c>
      <c r="U50" s="89" t="n"/>
      <c r="V50" s="41" t="n"/>
    </row>
    <row r="51" ht="19.5" customHeight="1" s="70">
      <c r="A51" s="90" t="n"/>
      <c r="B51" s="84" t="inlineStr">
        <is>
          <t>'Management Elements &amp; Methods (Part-III-Chapter 9)
Dr B Kishore (External Faculty)</t>
        </is>
      </c>
      <c r="C51" s="50" t="inlineStr">
        <is>
          <t>Course Contenet</t>
        </is>
      </c>
      <c r="D51" s="51" t="n">
        <v>10</v>
      </c>
      <c r="E51" s="51" t="n">
        <v>10</v>
      </c>
      <c r="F51" s="51" t="n">
        <v>9</v>
      </c>
      <c r="G51" s="51" t="n">
        <v>8</v>
      </c>
      <c r="H51" s="51" t="n">
        <v>9</v>
      </c>
      <c r="I51" s="51" t="n">
        <v>9</v>
      </c>
      <c r="J51" s="51" t="n"/>
      <c r="K51" s="51" t="n">
        <v>9</v>
      </c>
      <c r="L51" s="51" t="n">
        <v>10</v>
      </c>
      <c r="M51" s="55" t="n"/>
      <c r="N51" s="51" t="n">
        <v>10</v>
      </c>
      <c r="O51" s="51" t="n"/>
      <c r="P51" s="51" t="n"/>
      <c r="Q51" t="n">
        <v>10</v>
      </c>
      <c r="R51" t="n">
        <v>10</v>
      </c>
      <c r="S51" t="n">
        <v>9</v>
      </c>
      <c r="T51" t="n">
        <v>10</v>
      </c>
      <c r="U51" s="89" t="n"/>
      <c r="V51" s="41" t="n"/>
    </row>
    <row r="52" ht="19.5" customHeight="1" s="70">
      <c r="A52" s="90" t="n"/>
      <c r="B52" s="90" t="n"/>
      <c r="C52" s="50" t="inlineStr">
        <is>
          <t>Structure &amp; Flow</t>
        </is>
      </c>
      <c r="D52" s="51" t="n">
        <v>10</v>
      </c>
      <c r="E52" s="51" t="n">
        <v>9</v>
      </c>
      <c r="F52" s="51" t="n">
        <v>9</v>
      </c>
      <c r="G52" s="51" t="n">
        <v>8</v>
      </c>
      <c r="H52" s="51" t="n">
        <v>9</v>
      </c>
      <c r="I52" s="51" t="n">
        <v>9</v>
      </c>
      <c r="J52" s="51" t="n"/>
      <c r="K52" s="51" t="n">
        <v>9</v>
      </c>
      <c r="L52" s="51" t="n">
        <v>10</v>
      </c>
      <c r="M52" s="55" t="n"/>
      <c r="N52" s="51" t="n">
        <v>10</v>
      </c>
      <c r="O52" s="51" t="n"/>
      <c r="P52" s="51" t="n"/>
      <c r="Q52" t="n">
        <v>10</v>
      </c>
      <c r="R52" t="n">
        <v>10</v>
      </c>
      <c r="S52" t="n">
        <v>9</v>
      </c>
      <c r="T52" t="n">
        <v>10</v>
      </c>
      <c r="U52" s="89" t="n"/>
      <c r="V52" s="41" t="n"/>
    </row>
    <row r="53" ht="19.5" customHeight="1" s="70">
      <c r="A53" s="90" t="n"/>
      <c r="B53" s="90" t="n"/>
      <c r="C53" s="50" t="inlineStr">
        <is>
          <t>Time Management</t>
        </is>
      </c>
      <c r="D53" s="53" t="n">
        <v>10</v>
      </c>
      <c r="E53" s="53" t="n">
        <v>10</v>
      </c>
      <c r="F53" s="53" t="n">
        <v>9</v>
      </c>
      <c r="G53" s="51" t="n">
        <v>8</v>
      </c>
      <c r="H53" s="51" t="n">
        <v>9</v>
      </c>
      <c r="I53" s="51" t="n">
        <v>9</v>
      </c>
      <c r="J53" s="51" t="n"/>
      <c r="K53" s="51" t="n">
        <v>9</v>
      </c>
      <c r="L53" s="51" t="n">
        <v>10</v>
      </c>
      <c r="M53" s="55" t="n"/>
      <c r="N53" s="51" t="n">
        <v>10</v>
      </c>
      <c r="O53" s="51" t="n"/>
      <c r="P53" s="51" t="n"/>
      <c r="Q53" t="n">
        <v>10</v>
      </c>
      <c r="R53" t="n">
        <v>10</v>
      </c>
      <c r="S53" t="n">
        <v>10</v>
      </c>
      <c r="T53" t="n">
        <v>10</v>
      </c>
      <c r="U53" s="89" t="n"/>
      <c r="V53" s="41" t="n"/>
    </row>
    <row r="54" ht="19.5" customHeight="1" s="70">
      <c r="A54" s="90" t="n"/>
      <c r="B54" s="90" t="n"/>
      <c r="C54" s="53" t="inlineStr">
        <is>
          <t>Faculty Delivery</t>
        </is>
      </c>
      <c r="D54" s="53" t="n">
        <v>10</v>
      </c>
      <c r="E54" s="53" t="n">
        <v>10</v>
      </c>
      <c r="F54" s="53" t="n">
        <v>9</v>
      </c>
      <c r="G54" s="51" t="n">
        <v>8</v>
      </c>
      <c r="H54" s="51" t="n">
        <v>9</v>
      </c>
      <c r="I54" s="51" t="n">
        <v>9</v>
      </c>
      <c r="J54" s="51" t="n"/>
      <c r="K54" s="51" t="n">
        <v>9</v>
      </c>
      <c r="L54" s="51" t="n">
        <v>10</v>
      </c>
      <c r="M54" s="55" t="n"/>
      <c r="N54" s="51" t="n">
        <v>10</v>
      </c>
      <c r="O54" s="51" t="n"/>
      <c r="P54" s="51" t="n"/>
      <c r="Q54" t="n">
        <v>10</v>
      </c>
      <c r="R54" t="n">
        <v>10</v>
      </c>
      <c r="S54" t="n">
        <v>10</v>
      </c>
      <c r="T54" t="n">
        <v>10</v>
      </c>
      <c r="U54" s="89" t="n"/>
      <c r="V54" s="41" t="n"/>
    </row>
    <row r="55" ht="19.5" customHeight="1" s="70">
      <c r="A55" s="90" t="n"/>
      <c r="B55" s="88" t="n"/>
      <c r="C55" s="53" t="inlineStr">
        <is>
          <t>Faculty Participants Interaction</t>
        </is>
      </c>
      <c r="D55" s="55" t="n">
        <v>10</v>
      </c>
      <c r="E55" s="55" t="n">
        <v>10</v>
      </c>
      <c r="F55" s="55" t="n">
        <v>9</v>
      </c>
      <c r="G55" s="51" t="n">
        <v>8</v>
      </c>
      <c r="H55" s="51" t="n">
        <v>9</v>
      </c>
      <c r="I55" s="51" t="n">
        <v>9</v>
      </c>
      <c r="J55" s="51" t="n"/>
      <c r="K55" s="51" t="n">
        <v>9</v>
      </c>
      <c r="L55" s="51" t="n">
        <v>10</v>
      </c>
      <c r="M55" s="55" t="n"/>
      <c r="N55" s="51" t="n">
        <v>10</v>
      </c>
      <c r="O55" s="51" t="n"/>
      <c r="P55" s="51" t="n"/>
      <c r="Q55" t="n">
        <v>10</v>
      </c>
      <c r="R55" t="n">
        <v>9</v>
      </c>
      <c r="S55" t="n">
        <v>10</v>
      </c>
      <c r="T55" t="n">
        <v>10</v>
      </c>
      <c r="U55" s="89" t="n"/>
      <c r="V55" s="41" t="n"/>
    </row>
    <row r="56" ht="20.25" customHeight="1" s="70">
      <c r="A56" s="90" t="n"/>
      <c r="B56" s="84" t="inlineStr">
        <is>
          <t>Quiz on CMQ/OE
Mr Surendra Singh , DGM (QM/BAE)</t>
        </is>
      </c>
      <c r="C56" s="57" t="inlineStr">
        <is>
          <t>Relevance of the Quiz to the Topics</t>
        </is>
      </c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U56" s="89" t="n"/>
      <c r="V56" s="41" t="n"/>
    </row>
    <row r="57" ht="20.25" customHeight="1" s="70">
      <c r="A57" s="90" t="n"/>
      <c r="B57" s="90" t="n"/>
      <c r="C57" s="58" t="inlineStr">
        <is>
          <t>Innovativeness in Presentation Method</t>
        </is>
      </c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U57" s="89" t="n"/>
      <c r="V57" s="41" t="n"/>
    </row>
    <row r="58" ht="20.25" customHeight="1" s="70">
      <c r="A58" s="90" t="n"/>
      <c r="B58" s="90" t="n"/>
      <c r="C58" s="59" t="inlineStr">
        <is>
          <t>Quiz Master's Effectiveness</t>
        </is>
      </c>
      <c r="D58" s="53" t="n"/>
      <c r="E58" s="53" t="n"/>
      <c r="F58" s="53" t="n"/>
      <c r="G58" s="53" t="n"/>
      <c r="H58" s="51" t="n"/>
      <c r="I58" s="53" t="n"/>
      <c r="J58" s="53" t="n"/>
      <c r="K58" s="51" t="n"/>
      <c r="L58" s="53" t="n"/>
      <c r="M58" s="53" t="n"/>
      <c r="N58" s="53" t="n"/>
      <c r="O58" s="53" t="n"/>
      <c r="P58" s="53" t="n"/>
      <c r="U58" s="89" t="n"/>
      <c r="V58" s="41" t="n"/>
    </row>
    <row r="59" ht="20.25" customHeight="1" s="70">
      <c r="A59" s="88" t="n"/>
      <c r="B59" s="88" t="n"/>
      <c r="C59" s="60" t="inlineStr">
        <is>
          <t>Overall impresion of the Quiz in Learning</t>
        </is>
      </c>
      <c r="D59" s="53" t="n"/>
      <c r="E59" s="53" t="n"/>
      <c r="F59" s="53" t="n"/>
      <c r="G59" s="53" t="n"/>
      <c r="H59" s="51" t="n"/>
      <c r="I59" s="53" t="n"/>
      <c r="J59" s="53" t="n"/>
      <c r="K59" s="51" t="n"/>
      <c r="L59" s="53" t="n"/>
      <c r="M59" s="53" t="n"/>
      <c r="N59" s="53" t="n"/>
      <c r="O59" s="53" t="n"/>
      <c r="P59" s="53" t="n"/>
      <c r="U59" s="89" t="n"/>
      <c r="V59" s="41" t="n"/>
    </row>
    <row r="60" ht="20.25" customHeight="1" s="70">
      <c r="A60" s="48" t="inlineStr">
        <is>
          <t>DAY-6
(08-08-2026)</t>
        </is>
      </c>
      <c r="B60" s="84" t="inlineStr">
        <is>
          <t>Management Elements &amp; Methods
 (Part-III- Chapter 10)
Mr Umesh Ghimirey, Sr.DGM (QM/BAE)</t>
        </is>
      </c>
      <c r="C60" s="50" t="inlineStr">
        <is>
          <t>Course Contenet</t>
        </is>
      </c>
      <c r="D60" s="51" t="n">
        <v>10</v>
      </c>
      <c r="E60" s="51" t="n">
        <v>9</v>
      </c>
      <c r="F60" s="51" t="n">
        <v>9</v>
      </c>
      <c r="G60" s="51" t="n">
        <v>10</v>
      </c>
      <c r="H60" s="51" t="n">
        <v>9</v>
      </c>
      <c r="I60" s="51" t="n">
        <v>9</v>
      </c>
      <c r="J60" s="51" t="n"/>
      <c r="K60" s="51" t="n">
        <v>9</v>
      </c>
      <c r="L60" s="53" t="n">
        <v>10</v>
      </c>
      <c r="M60" s="51" t="n"/>
      <c r="N60" s="51" t="n">
        <v>10</v>
      </c>
      <c r="O60" s="51" t="n"/>
      <c r="P60" s="51" t="n"/>
      <c r="Q60" t="n">
        <v>10</v>
      </c>
      <c r="R60" t="n">
        <v>10</v>
      </c>
      <c r="S60" t="n">
        <v>9</v>
      </c>
      <c r="T60" t="n">
        <v>10</v>
      </c>
      <c r="U60" s="89" t="n"/>
      <c r="V60" s="41" t="n"/>
    </row>
    <row r="61" ht="20.25" customHeight="1" s="70">
      <c r="A61" s="90" t="n"/>
      <c r="B61" s="90" t="n"/>
      <c r="C61" s="50" t="inlineStr">
        <is>
          <t>Structure &amp; Flow</t>
        </is>
      </c>
      <c r="D61" s="51" t="n">
        <v>10</v>
      </c>
      <c r="E61" s="51" t="n">
        <v>9</v>
      </c>
      <c r="F61" s="51" t="n">
        <v>9</v>
      </c>
      <c r="G61" s="51" t="n">
        <v>10</v>
      </c>
      <c r="H61" s="51" t="n">
        <v>9</v>
      </c>
      <c r="I61" s="51" t="n">
        <v>9</v>
      </c>
      <c r="J61" s="51" t="n"/>
      <c r="K61" s="51" t="n">
        <v>9</v>
      </c>
      <c r="L61" s="53" t="n">
        <v>10</v>
      </c>
      <c r="M61" s="51" t="n"/>
      <c r="N61" s="51" t="n">
        <v>10</v>
      </c>
      <c r="O61" s="51" t="n"/>
      <c r="P61" s="51" t="n"/>
      <c r="Q61" t="n">
        <v>10</v>
      </c>
      <c r="R61" t="n">
        <v>10</v>
      </c>
      <c r="S61" t="n">
        <v>9</v>
      </c>
      <c r="T61" t="n">
        <v>10</v>
      </c>
      <c r="U61" s="89" t="n"/>
      <c r="V61" s="41" t="n"/>
    </row>
    <row r="62" ht="20.25" customHeight="1" s="70">
      <c r="A62" s="90" t="n"/>
      <c r="B62" s="90" t="n"/>
      <c r="C62" s="50" t="inlineStr">
        <is>
          <t>Time Management</t>
        </is>
      </c>
      <c r="D62" s="51" t="n">
        <v>10</v>
      </c>
      <c r="E62" s="51" t="n">
        <v>10</v>
      </c>
      <c r="F62" s="51" t="n">
        <v>9</v>
      </c>
      <c r="G62" s="51" t="n">
        <v>10</v>
      </c>
      <c r="H62" s="51" t="n">
        <v>9</v>
      </c>
      <c r="I62" s="51" t="n">
        <v>9</v>
      </c>
      <c r="J62" s="51" t="n"/>
      <c r="K62" s="51" t="n">
        <v>9</v>
      </c>
      <c r="L62" s="53" t="n">
        <v>10</v>
      </c>
      <c r="M62" s="51" t="n"/>
      <c r="N62" s="51" t="n">
        <v>10</v>
      </c>
      <c r="O62" s="51" t="n"/>
      <c r="P62" s="51" t="n"/>
      <c r="Q62" t="n">
        <v>10</v>
      </c>
      <c r="R62" t="n">
        <v>10</v>
      </c>
      <c r="S62" t="n">
        <v>10</v>
      </c>
      <c r="T62" t="n">
        <v>10</v>
      </c>
      <c r="U62" s="89" t="n"/>
      <c r="V62" s="41" t="n"/>
    </row>
    <row r="63" ht="20.25" customHeight="1" s="70">
      <c r="A63" s="90" t="n"/>
      <c r="B63" s="90" t="n"/>
      <c r="C63" s="53" t="inlineStr">
        <is>
          <t>Faculty Delivery</t>
        </is>
      </c>
      <c r="D63" s="53" t="n">
        <v>10</v>
      </c>
      <c r="E63" s="53" t="n">
        <v>10</v>
      </c>
      <c r="F63" s="53" t="n">
        <v>9</v>
      </c>
      <c r="G63" s="53" t="n">
        <v>10</v>
      </c>
      <c r="H63" s="51" t="n">
        <v>9</v>
      </c>
      <c r="I63" s="53" t="n">
        <v>9</v>
      </c>
      <c r="J63" s="53" t="n"/>
      <c r="K63" s="53" t="n">
        <v>9</v>
      </c>
      <c r="L63" s="53" t="n">
        <v>10</v>
      </c>
      <c r="M63" s="53" t="n"/>
      <c r="N63" s="53" t="n">
        <v>10</v>
      </c>
      <c r="O63" s="53" t="n"/>
      <c r="P63" s="53" t="n"/>
      <c r="Q63" t="n">
        <v>10</v>
      </c>
      <c r="R63" t="n">
        <v>10</v>
      </c>
      <c r="S63" t="n">
        <v>10</v>
      </c>
      <c r="T63" t="n">
        <v>10</v>
      </c>
      <c r="U63" s="89" t="n"/>
      <c r="V63" s="41" t="n"/>
    </row>
    <row r="64" ht="20.25" customHeight="1" s="70">
      <c r="A64" s="90" t="n"/>
      <c r="B64" s="88" t="n"/>
      <c r="C64" s="53" t="inlineStr">
        <is>
          <t>Faculty Participants Interaction</t>
        </is>
      </c>
      <c r="D64" s="55" t="n">
        <v>10</v>
      </c>
      <c r="E64" s="55" t="n">
        <v>10</v>
      </c>
      <c r="F64" s="55" t="n">
        <v>9</v>
      </c>
      <c r="G64" s="55" t="n">
        <v>10</v>
      </c>
      <c r="H64" s="51" t="n">
        <v>9</v>
      </c>
      <c r="I64" s="55" t="n">
        <v>9</v>
      </c>
      <c r="J64" s="55" t="n"/>
      <c r="K64" s="55" t="n">
        <v>9</v>
      </c>
      <c r="L64" s="53" t="n">
        <v>10</v>
      </c>
      <c r="M64" s="55" t="n"/>
      <c r="N64" s="55" t="n">
        <v>10</v>
      </c>
      <c r="O64" s="55" t="n"/>
      <c r="P64" s="55" t="n"/>
      <c r="Q64" t="n">
        <v>10</v>
      </c>
      <c r="R64" t="n">
        <v>10</v>
      </c>
      <c r="S64" t="n">
        <v>10</v>
      </c>
      <c r="T64" t="n">
        <v>10</v>
      </c>
      <c r="U64" s="89" t="n"/>
      <c r="V64" s="41" t="n"/>
    </row>
    <row r="65" ht="20.25" customHeight="1" s="70">
      <c r="A65" s="90" t="n"/>
      <c r="B65" s="84" t="inlineStr">
        <is>
          <t>Management Elements &amp; Methods 
(Part-III- Chapter 10)
Mrs Kavitha Vadipila, Sr.DGM (PDIC)</t>
        </is>
      </c>
      <c r="C65" s="50" t="inlineStr">
        <is>
          <t>Course Contenet</t>
        </is>
      </c>
      <c r="D65" s="51" t="n">
        <v>10</v>
      </c>
      <c r="E65" s="51" t="n">
        <v>9</v>
      </c>
      <c r="F65" s="51" t="n">
        <v>9</v>
      </c>
      <c r="G65" s="51" t="n">
        <v>10</v>
      </c>
      <c r="H65" s="51" t="n">
        <v>9</v>
      </c>
      <c r="I65" s="51" t="n">
        <v>9</v>
      </c>
      <c r="J65" s="51" t="n"/>
      <c r="K65" s="51" t="n">
        <v>9</v>
      </c>
      <c r="L65" s="53" t="n">
        <v>10</v>
      </c>
      <c r="M65" s="51" t="n"/>
      <c r="N65" s="51" t="n">
        <v>10</v>
      </c>
      <c r="O65" s="51" t="n"/>
      <c r="P65" s="51" t="n"/>
      <c r="Q65" t="n">
        <v>10</v>
      </c>
      <c r="R65" t="n">
        <v>10</v>
      </c>
      <c r="S65" t="n">
        <v>9</v>
      </c>
      <c r="T65" t="n">
        <v>10</v>
      </c>
      <c r="U65" s="89" t="n"/>
      <c r="V65" s="41" t="n"/>
    </row>
    <row r="66" ht="20.25" customHeight="1" s="70">
      <c r="A66" s="90" t="n"/>
      <c r="B66" s="90" t="n"/>
      <c r="C66" s="50" t="inlineStr">
        <is>
          <t>Structure &amp; Flow</t>
        </is>
      </c>
      <c r="D66" s="51" t="n">
        <v>10</v>
      </c>
      <c r="E66" s="51" t="n">
        <v>9</v>
      </c>
      <c r="F66" s="51" t="n">
        <v>9</v>
      </c>
      <c r="G66" s="51" t="n">
        <v>10</v>
      </c>
      <c r="H66" s="51" t="n">
        <v>9</v>
      </c>
      <c r="I66" s="51" t="n">
        <v>9</v>
      </c>
      <c r="J66" s="51" t="n"/>
      <c r="K66" s="51" t="n">
        <v>9</v>
      </c>
      <c r="L66" s="53" t="n">
        <v>10</v>
      </c>
      <c r="M66" s="51" t="n"/>
      <c r="N66" s="51" t="n">
        <v>10</v>
      </c>
      <c r="O66" s="51" t="n"/>
      <c r="P66" s="51" t="n"/>
      <c r="Q66" t="n">
        <v>10</v>
      </c>
      <c r="R66" t="n">
        <v>10</v>
      </c>
      <c r="S66" t="n">
        <v>9</v>
      </c>
      <c r="T66" t="n">
        <v>10</v>
      </c>
      <c r="U66" s="89" t="n"/>
      <c r="V66" s="41" t="n"/>
    </row>
    <row r="67" ht="20.25" customHeight="1" s="70">
      <c r="A67" s="90" t="n"/>
      <c r="B67" s="90" t="n"/>
      <c r="C67" s="50" t="inlineStr">
        <is>
          <t>Time Management</t>
        </is>
      </c>
      <c r="D67" s="51" t="n">
        <v>10</v>
      </c>
      <c r="E67" s="51" t="n">
        <v>9</v>
      </c>
      <c r="F67" s="51" t="n">
        <v>9</v>
      </c>
      <c r="G67" s="51" t="n">
        <v>10</v>
      </c>
      <c r="H67" s="51" t="n">
        <v>9</v>
      </c>
      <c r="I67" s="51" t="n">
        <v>9</v>
      </c>
      <c r="J67" s="51" t="n"/>
      <c r="K67" s="51" t="n">
        <v>9</v>
      </c>
      <c r="L67" s="53" t="n">
        <v>10</v>
      </c>
      <c r="M67" s="51" t="n"/>
      <c r="N67" s="51" t="n">
        <v>10</v>
      </c>
      <c r="O67" s="51" t="n"/>
      <c r="P67" s="51" t="n"/>
      <c r="Q67" t="n">
        <v>10</v>
      </c>
      <c r="R67" t="n">
        <v>10</v>
      </c>
      <c r="S67" t="n">
        <v>9</v>
      </c>
      <c r="T67" t="n">
        <v>10</v>
      </c>
      <c r="U67" s="89" t="n"/>
      <c r="V67" s="41" t="n"/>
    </row>
    <row r="68" ht="20.25" customHeight="1" s="70">
      <c r="A68" s="90" t="n"/>
      <c r="B68" s="90" t="n"/>
      <c r="C68" s="53" t="inlineStr">
        <is>
          <t>Faculty Delivery</t>
        </is>
      </c>
      <c r="D68" s="53" t="n">
        <v>10</v>
      </c>
      <c r="E68" s="53" t="n">
        <v>9</v>
      </c>
      <c r="F68" s="53" t="n">
        <v>9</v>
      </c>
      <c r="G68" s="53" t="n">
        <v>10</v>
      </c>
      <c r="H68" s="51" t="n">
        <v>9</v>
      </c>
      <c r="I68" s="53" t="n">
        <v>9</v>
      </c>
      <c r="J68" s="53" t="n"/>
      <c r="K68" s="53" t="n">
        <v>9</v>
      </c>
      <c r="L68" s="53" t="n">
        <v>10</v>
      </c>
      <c r="M68" s="53" t="n"/>
      <c r="N68" s="53" t="n">
        <v>10</v>
      </c>
      <c r="O68" s="53" t="n"/>
      <c r="P68" s="53" t="n"/>
      <c r="Q68" t="n">
        <v>10</v>
      </c>
      <c r="R68" t="n">
        <v>10</v>
      </c>
      <c r="S68" t="n">
        <v>9</v>
      </c>
      <c r="T68" t="n">
        <v>10</v>
      </c>
      <c r="U68" s="89" t="n"/>
      <c r="V68" s="41" t="n"/>
    </row>
    <row r="69" ht="20.25" customHeight="1" s="70">
      <c r="A69" s="90" t="n"/>
      <c r="B69" s="88" t="n"/>
      <c r="C69" s="53" t="inlineStr">
        <is>
          <t>Faculty Participants Interaction</t>
        </is>
      </c>
      <c r="D69" s="55" t="n">
        <v>10</v>
      </c>
      <c r="E69" s="55" t="n">
        <v>9</v>
      </c>
      <c r="F69" s="55" t="n">
        <v>9</v>
      </c>
      <c r="G69" s="55" t="n">
        <v>10</v>
      </c>
      <c r="H69" s="51" t="n">
        <v>9</v>
      </c>
      <c r="I69" s="55" t="n">
        <v>9</v>
      </c>
      <c r="J69" s="55" t="n"/>
      <c r="K69" s="55" t="n">
        <v>9</v>
      </c>
      <c r="L69" s="53" t="n">
        <v>10</v>
      </c>
      <c r="M69" s="55" t="n"/>
      <c r="N69" s="55" t="n">
        <v>10</v>
      </c>
      <c r="O69" s="55" t="n"/>
      <c r="P69" s="55" t="n"/>
      <c r="Q69" t="n">
        <v>10</v>
      </c>
      <c r="R69" t="n">
        <v>10</v>
      </c>
      <c r="S69" t="n">
        <v>9</v>
      </c>
      <c r="T69" t="n">
        <v>10</v>
      </c>
      <c r="U69" s="89" t="n"/>
      <c r="V69" s="41" t="n"/>
    </row>
    <row r="70" ht="20.25" customHeight="1" s="70">
      <c r="A70" s="90" t="n"/>
      <c r="B70" s="84" t="inlineStr">
        <is>
          <t>Management Elements &amp; Methods 
(Part-III-Chapter 12)
Mr Surendra Singh, DGM (QM/BAE)</t>
        </is>
      </c>
      <c r="C70" s="50" t="inlineStr">
        <is>
          <t>Course Contenet</t>
        </is>
      </c>
      <c r="D70" s="51" t="n">
        <v>10</v>
      </c>
      <c r="E70" s="51" t="n">
        <v>9</v>
      </c>
      <c r="F70" s="51" t="n">
        <v>9</v>
      </c>
      <c r="G70" s="55" t="n">
        <v>10</v>
      </c>
      <c r="H70" s="51" t="n">
        <v>9</v>
      </c>
      <c r="I70" s="51" t="n">
        <v>9</v>
      </c>
      <c r="J70" s="51" t="n"/>
      <c r="K70" s="51" t="n">
        <v>9</v>
      </c>
      <c r="L70" s="53" t="n">
        <v>10</v>
      </c>
      <c r="M70" s="51" t="n"/>
      <c r="N70" s="51" t="n">
        <v>10</v>
      </c>
      <c r="O70" s="51" t="n"/>
      <c r="P70" s="51" t="n"/>
      <c r="Q70" t="n">
        <v>10</v>
      </c>
      <c r="R70" t="n">
        <v>10</v>
      </c>
      <c r="S70" t="n">
        <v>9</v>
      </c>
      <c r="T70" t="n">
        <v>10</v>
      </c>
      <c r="U70" s="89" t="n"/>
      <c r="V70" s="41" t="n"/>
    </row>
    <row r="71" ht="20.25" customHeight="1" s="70">
      <c r="A71" s="90" t="n"/>
      <c r="B71" s="90" t="n"/>
      <c r="C71" s="50" t="inlineStr">
        <is>
          <t>Structure &amp; Flow</t>
        </is>
      </c>
      <c r="D71" s="51" t="n">
        <v>10</v>
      </c>
      <c r="E71" s="51" t="n">
        <v>8</v>
      </c>
      <c r="F71" s="51" t="n">
        <v>9</v>
      </c>
      <c r="G71" s="55" t="n">
        <v>10</v>
      </c>
      <c r="H71" s="51" t="n">
        <v>9</v>
      </c>
      <c r="I71" s="51" t="n">
        <v>9</v>
      </c>
      <c r="J71" s="51" t="n"/>
      <c r="K71" s="51" t="n">
        <v>9</v>
      </c>
      <c r="L71" s="53" t="n">
        <v>10</v>
      </c>
      <c r="M71" s="51" t="n"/>
      <c r="N71" s="51" t="n">
        <v>10</v>
      </c>
      <c r="O71" s="51" t="n"/>
      <c r="P71" s="51" t="n"/>
      <c r="Q71" t="n">
        <v>9</v>
      </c>
      <c r="R71" t="n">
        <v>10</v>
      </c>
      <c r="S71" t="n">
        <v>9</v>
      </c>
      <c r="T71" t="n">
        <v>10</v>
      </c>
      <c r="U71" s="89" t="n"/>
      <c r="V71" s="41" t="n"/>
    </row>
    <row r="72" ht="20.25" customHeight="1" s="70">
      <c r="A72" s="90" t="n"/>
      <c r="B72" s="90" t="n"/>
      <c r="C72" s="50" t="inlineStr">
        <is>
          <t>Time Management</t>
        </is>
      </c>
      <c r="D72" s="51" t="n">
        <v>10</v>
      </c>
      <c r="E72" s="51" t="n">
        <v>10</v>
      </c>
      <c r="F72" s="51" t="n">
        <v>9</v>
      </c>
      <c r="G72" s="55" t="n">
        <v>10</v>
      </c>
      <c r="H72" s="51" t="n">
        <v>9</v>
      </c>
      <c r="I72" s="51" t="n">
        <v>9</v>
      </c>
      <c r="J72" s="51" t="n"/>
      <c r="K72" s="51" t="n">
        <v>9</v>
      </c>
      <c r="L72" s="53" t="n">
        <v>10</v>
      </c>
      <c r="M72" s="51" t="n"/>
      <c r="N72" s="51" t="n">
        <v>10</v>
      </c>
      <c r="O72" s="51" t="n"/>
      <c r="P72" s="51" t="n"/>
      <c r="Q72" t="n">
        <v>9</v>
      </c>
      <c r="R72" t="n">
        <v>10</v>
      </c>
      <c r="S72" t="n">
        <v>9</v>
      </c>
      <c r="T72" t="n">
        <v>10</v>
      </c>
      <c r="U72" s="89" t="n"/>
      <c r="V72" s="41" t="n"/>
    </row>
    <row r="73" ht="20.25" customHeight="1" s="70">
      <c r="A73" s="90" t="n"/>
      <c r="B73" s="90" t="n"/>
      <c r="C73" s="53" t="inlineStr">
        <is>
          <t>Faculty Delivery</t>
        </is>
      </c>
      <c r="D73" s="53" t="n">
        <v>10</v>
      </c>
      <c r="E73" s="53" t="n">
        <v>10</v>
      </c>
      <c r="F73" s="53" t="n">
        <v>9</v>
      </c>
      <c r="G73" s="55" t="n">
        <v>10</v>
      </c>
      <c r="H73" s="51" t="n">
        <v>9</v>
      </c>
      <c r="I73" s="53" t="n">
        <v>9</v>
      </c>
      <c r="J73" s="53" t="n"/>
      <c r="K73" s="53" t="n">
        <v>9</v>
      </c>
      <c r="L73" s="53" t="n">
        <v>10</v>
      </c>
      <c r="M73" s="53" t="n"/>
      <c r="N73" s="53" t="n">
        <v>10</v>
      </c>
      <c r="O73" s="53" t="n"/>
      <c r="P73" s="53" t="n"/>
      <c r="Q73" t="n">
        <v>9</v>
      </c>
      <c r="R73" t="n">
        <v>10</v>
      </c>
      <c r="S73" t="n">
        <v>9</v>
      </c>
      <c r="T73" t="n">
        <v>10</v>
      </c>
      <c r="U73" s="89" t="n"/>
      <c r="V73" s="41" t="n"/>
    </row>
    <row r="74" ht="20.25" customHeight="1" s="70">
      <c r="A74" s="88" t="n"/>
      <c r="B74" s="88" t="n"/>
      <c r="C74" s="53" t="inlineStr">
        <is>
          <t>Faculty Participants Interaction</t>
        </is>
      </c>
      <c r="D74" s="55" t="n">
        <v>10</v>
      </c>
      <c r="E74" s="55" t="n">
        <v>10</v>
      </c>
      <c r="F74" s="55" t="n">
        <v>9</v>
      </c>
      <c r="G74" s="55" t="n">
        <v>10</v>
      </c>
      <c r="H74" s="51" t="n">
        <v>9</v>
      </c>
      <c r="I74" s="55" t="n">
        <v>9</v>
      </c>
      <c r="J74" s="55" t="n"/>
      <c r="K74" s="55" t="n">
        <v>9</v>
      </c>
      <c r="L74" s="53" t="n">
        <v>10</v>
      </c>
      <c r="M74" s="55" t="n"/>
      <c r="N74" s="55" t="n">
        <v>10</v>
      </c>
      <c r="O74" s="55" t="n"/>
      <c r="P74" s="55" t="n"/>
      <c r="Q74" t="n">
        <v>9</v>
      </c>
      <c r="R74" t="n">
        <v>10</v>
      </c>
      <c r="S74" t="n">
        <v>9</v>
      </c>
      <c r="T74" t="n">
        <v>10</v>
      </c>
      <c r="U74" s="89" t="n"/>
      <c r="V74" s="41" t="n"/>
    </row>
    <row r="75" ht="20.25" customHeight="1" s="70">
      <c r="A75" s="61" t="inlineStr">
        <is>
          <t>Overall Feedback</t>
        </is>
      </c>
      <c r="B75" s="91" t="n"/>
      <c r="C75" s="29" t="inlineStr">
        <is>
          <t>Delivery Notes (Course Material)</t>
        </is>
      </c>
      <c r="D75" s="55" t="n">
        <v>10</v>
      </c>
      <c r="E75" s="55" t="n">
        <v>9</v>
      </c>
      <c r="F75" s="55" t="n">
        <v>9</v>
      </c>
      <c r="G75" s="55" t="n">
        <v>9</v>
      </c>
      <c r="H75" s="51" t="n">
        <v>9</v>
      </c>
      <c r="I75" s="55" t="n">
        <v>10</v>
      </c>
      <c r="J75" s="55" t="n"/>
      <c r="K75" s="55" t="n">
        <v>9</v>
      </c>
      <c r="L75" s="53" t="n">
        <v>10</v>
      </c>
      <c r="M75" s="55" t="n"/>
      <c r="N75" s="55" t="n">
        <v>9</v>
      </c>
      <c r="O75" s="55" t="n"/>
      <c r="P75" s="55" t="n"/>
      <c r="Q75" t="n">
        <v>10</v>
      </c>
      <c r="R75" t="n">
        <v>10</v>
      </c>
      <c r="S75" t="n">
        <v>9</v>
      </c>
      <c r="T75" t="n">
        <v>10</v>
      </c>
      <c r="U75" s="89" t="n"/>
      <c r="V75" s="62" t="n"/>
    </row>
    <row r="76" ht="20.25" customHeight="1" s="70">
      <c r="A76" s="92" t="n"/>
      <c r="B76" s="93" t="n"/>
      <c r="C76" s="29" t="inlineStr">
        <is>
          <t>Communication &amp; Overall Coordination</t>
        </is>
      </c>
      <c r="D76" s="55" t="n">
        <v>10</v>
      </c>
      <c r="E76" s="55" t="n">
        <v>10</v>
      </c>
      <c r="F76" s="55" t="n">
        <v>9</v>
      </c>
      <c r="G76" s="55" t="n">
        <v>10</v>
      </c>
      <c r="H76" s="51" t="n">
        <v>9</v>
      </c>
      <c r="I76" s="55" t="n">
        <v>10</v>
      </c>
      <c r="J76" s="55" t="n"/>
      <c r="K76" s="55" t="n">
        <v>9</v>
      </c>
      <c r="L76" s="53" t="n">
        <v>10</v>
      </c>
      <c r="M76" s="55" t="n"/>
      <c r="N76" s="55" t="n">
        <v>9</v>
      </c>
      <c r="O76" s="55" t="n"/>
      <c r="P76" s="55" t="n"/>
      <c r="Q76" t="n">
        <v>10</v>
      </c>
      <c r="R76" t="n">
        <v>10</v>
      </c>
      <c r="S76" t="n">
        <v>9</v>
      </c>
      <c r="T76" t="n">
        <v>10</v>
      </c>
      <c r="U76" s="89" t="n"/>
      <c r="V76" s="62" t="n"/>
    </row>
    <row r="77" ht="20.25" customHeight="1" s="70">
      <c r="A77" s="92" t="n"/>
      <c r="B77" s="93" t="n"/>
      <c r="C77" s="29" t="inlineStr">
        <is>
          <t>Classroom Facilities</t>
        </is>
      </c>
      <c r="D77" s="55" t="n">
        <v>10</v>
      </c>
      <c r="E77" s="55" t="n">
        <v>10</v>
      </c>
      <c r="F77" s="55" t="n">
        <v>9</v>
      </c>
      <c r="G77" s="55" t="n">
        <v>10</v>
      </c>
      <c r="H77" s="51" t="n">
        <v>9</v>
      </c>
      <c r="I77" s="55" t="n">
        <v>10</v>
      </c>
      <c r="J77" s="55" t="n"/>
      <c r="K77" s="55" t="n">
        <v>9</v>
      </c>
      <c r="L77" s="53" t="n">
        <v>10</v>
      </c>
      <c r="M77" s="55" t="n"/>
      <c r="N77" s="55" t="n">
        <v>9</v>
      </c>
      <c r="O77" s="55" t="n"/>
      <c r="P77" s="55" t="n"/>
      <c r="Q77" t="n">
        <v>10</v>
      </c>
      <c r="R77" t="n">
        <v>10</v>
      </c>
      <c r="S77" t="n">
        <v>9</v>
      </c>
      <c r="T77" t="n">
        <v>10</v>
      </c>
      <c r="U77" s="89" t="n"/>
      <c r="V77" s="62" t="n"/>
    </row>
    <row r="78" ht="20.25" customHeight="1" s="70">
      <c r="A78" s="94" t="n"/>
      <c r="B78" s="95" t="n"/>
      <c r="C78" s="29" t="inlineStr">
        <is>
          <t>Relevance to your current job</t>
        </is>
      </c>
      <c r="D78" s="55" t="n">
        <v>10</v>
      </c>
      <c r="E78" s="55" t="n">
        <v>9</v>
      </c>
      <c r="F78" s="55" t="n">
        <v>9</v>
      </c>
      <c r="G78" s="55" t="n">
        <v>9</v>
      </c>
      <c r="H78" s="51" t="n">
        <v>9</v>
      </c>
      <c r="I78" s="55" t="n">
        <v>9</v>
      </c>
      <c r="J78" s="55" t="n"/>
      <c r="K78" s="55" t="n">
        <v>9</v>
      </c>
      <c r="L78" s="53" t="n">
        <v>10</v>
      </c>
      <c r="M78" s="55" t="n"/>
      <c r="N78" s="55" t="n">
        <v>9</v>
      </c>
      <c r="O78" s="55" t="n"/>
      <c r="P78" s="55" t="n"/>
      <c r="Q78" t="n">
        <v>10</v>
      </c>
      <c r="R78" t="n">
        <v>10</v>
      </c>
      <c r="S78" t="n">
        <v>9</v>
      </c>
      <c r="T78" t="n">
        <v>10</v>
      </c>
      <c r="U78" s="89" t="n"/>
      <c r="V78" s="62" t="n"/>
    </row>
    <row r="79" ht="59.25" customHeight="1" s="70">
      <c r="A79" s="61" t="inlineStr">
        <is>
          <t>Suggestion 1</t>
        </is>
      </c>
      <c r="B79" s="86" t="n"/>
      <c r="C79" s="87" t="n"/>
      <c r="D79" s="63" t="n"/>
      <c r="E79" s="64" t="n"/>
      <c r="F79" s="64" t="n"/>
      <c r="G79" s="64" t="n"/>
      <c r="H79" s="64" t="n"/>
      <c r="I79" s="64" t="n"/>
      <c r="J79" s="64" t="n"/>
      <c r="K79" s="65" t="n"/>
      <c r="L79" s="65" t="n"/>
      <c r="M79" s="64" t="n"/>
      <c r="N79" s="64" t="n"/>
      <c r="O79" s="66" t="n"/>
      <c r="P79" s="65" t="n"/>
      <c r="U79" s="96" t="n"/>
      <c r="V79" s="68" t="n"/>
    </row>
    <row r="80" ht="55.5" customHeight="1" s="70">
      <c r="A80" s="61" t="inlineStr">
        <is>
          <t>Suggestion 2</t>
        </is>
      </c>
      <c r="B80" s="86" t="n"/>
      <c r="C80" s="87" t="n"/>
      <c r="D80" s="64" t="n"/>
      <c r="E80" s="64" t="n"/>
      <c r="F80" s="64" t="n"/>
      <c r="G80" s="64" t="n"/>
      <c r="H80" s="64" t="n"/>
      <c r="I80" s="64" t="n"/>
      <c r="J80" s="64" t="n"/>
      <c r="K80" s="65" t="n"/>
      <c r="L80" s="64" t="n"/>
      <c r="M80" s="64" t="n"/>
      <c r="N80" s="64" t="n"/>
      <c r="O80" s="64" t="n"/>
      <c r="P80" s="64" t="n"/>
      <c r="U80" s="96" t="n"/>
      <c r="V80" s="68" t="n"/>
    </row>
    <row r="81" ht="15.75" customHeight="1" s="70">
      <c r="E81" s="69" t="n"/>
      <c r="G81" t="inlineStr">
        <is>
          <t>.</t>
        </is>
      </c>
      <c r="K81" s="69" t="n"/>
    </row>
    <row r="82" ht="15.75" customHeight="1" s="70">
      <c r="J82" s="71" t="n"/>
      <c r="K82" s="72" t="n"/>
    </row>
    <row r="83" ht="15.75" customHeight="1" s="70">
      <c r="C83" s="73" t="inlineStr">
        <is>
          <t xml:space="preserve">Excellent </t>
        </is>
      </c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</row>
    <row r="84" ht="15.75" customHeight="1" s="70">
      <c r="C84" s="75" t="inlineStr">
        <is>
          <t>Very Good</t>
        </is>
      </c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86" t="n"/>
      <c r="P84" s="86" t="n"/>
    </row>
    <row r="85" ht="15.75" customHeight="1" s="70">
      <c r="C85" s="77" t="inlineStr">
        <is>
          <t>Good</t>
        </is>
      </c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86" t="n"/>
      <c r="P85" s="86" t="n"/>
    </row>
    <row r="86" ht="15.75" customHeight="1" s="70">
      <c r="C86" s="79" t="inlineStr">
        <is>
          <t>Satisfactory</t>
        </is>
      </c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86" t="n"/>
      <c r="P86" s="86" t="n"/>
    </row>
    <row r="87" ht="15.75" customHeight="1" s="70">
      <c r="C87" s="81" t="inlineStr">
        <is>
          <t xml:space="preserve">Unsatisfactory </t>
        </is>
      </c>
      <c r="D87" s="98" t="n"/>
      <c r="E87" s="98" t="n"/>
      <c r="F87" s="98" t="n"/>
      <c r="G87" s="98" t="n"/>
      <c r="H87" s="98" t="n"/>
      <c r="I87" s="98" t="n"/>
      <c r="J87" s="98" t="n"/>
      <c r="K87" s="98" t="n"/>
      <c r="L87" s="98" t="n"/>
      <c r="M87" s="98" t="n"/>
      <c r="N87" s="98" t="n"/>
      <c r="O87" s="98" t="n"/>
      <c r="P87" s="98" t="n"/>
    </row>
    <row r="88" ht="15.75" customHeight="1" s="70"/>
    <row r="89" ht="15.75" customHeight="1" s="70"/>
    <row r="90" ht="15.75" customHeight="1" s="70"/>
    <row r="91" ht="15.75" customHeight="1" s="70"/>
    <row r="92" ht="15.75" customHeight="1" s="70"/>
    <row r="93" ht="15.75" customHeight="1" s="70"/>
    <row r="94" ht="15.75" customHeight="1" s="70"/>
    <row r="95" ht="16.5" customHeight="1" s="70"/>
    <row r="97" ht="15.75" customHeight="1" s="70"/>
    <row r="98" ht="16.5" customHeight="1" s="70"/>
    <row r="99" ht="15.75" customHeight="1" s="70"/>
    <row r="100" ht="12.75" customHeight="1" s="70"/>
    <row r="101" ht="13.5" customHeight="1" s="70"/>
    <row r="102" s="70"/>
    <row r="103" s="70"/>
    <row r="104" s="70"/>
    <row r="105" s="70"/>
    <row r="106" s="70"/>
  </sheetData>
  <mergeCells count="36">
    <mergeCell ref="C2:R2"/>
    <mergeCell ref="D4:P4"/>
    <mergeCell ref="R4:R5"/>
    <mergeCell ref="C87:P87"/>
    <mergeCell ref="A80:C80"/>
    <mergeCell ref="C83:P83"/>
    <mergeCell ref="B56:B59"/>
    <mergeCell ref="B60:B64"/>
    <mergeCell ref="C4:C5"/>
    <mergeCell ref="C86:P86"/>
    <mergeCell ref="B65:B69"/>
    <mergeCell ref="A60:A74"/>
    <mergeCell ref="B6:B10"/>
    <mergeCell ref="Q4:Q5"/>
    <mergeCell ref="B51:B55"/>
    <mergeCell ref="C85:P85"/>
    <mergeCell ref="A36:A45"/>
    <mergeCell ref="B36:B40"/>
    <mergeCell ref="B41:B45"/>
    <mergeCell ref="C84:P84"/>
    <mergeCell ref="D3:R3"/>
    <mergeCell ref="A6:A15"/>
    <mergeCell ref="B16:B20"/>
    <mergeCell ref="B26:B30"/>
    <mergeCell ref="A4:A5"/>
    <mergeCell ref="A16:A25"/>
    <mergeCell ref="B31:B35"/>
    <mergeCell ref="B46:B50"/>
    <mergeCell ref="A26:A35"/>
    <mergeCell ref="B4:B5"/>
    <mergeCell ref="B21:B25"/>
    <mergeCell ref="A79:C79"/>
    <mergeCell ref="B11:B15"/>
    <mergeCell ref="A46:A59"/>
    <mergeCell ref="B70:B74"/>
    <mergeCell ref="A75:B78"/>
  </mergeCells>
  <conditionalFormatting sqref="R36:R45">
    <cfRule type="cellIs" priority="6" operator="equal" dxfId="0">
      <formula>"Unsatisfactory"</formula>
    </cfRule>
    <cfRule type="cellIs" priority="7" operator="equal" dxfId="1">
      <formula>"Satisfactory"</formula>
    </cfRule>
    <cfRule type="cellIs" priority="8" operator="equal" dxfId="2">
      <formula>"Good"</formula>
    </cfRule>
    <cfRule type="cellIs" priority="9" operator="equal" dxfId="3">
      <formula>"Very good"</formula>
    </cfRule>
    <cfRule type="cellIs" priority="10" operator="equal" dxfId="4">
      <formula>"Excellent"</formula>
    </cfRule>
  </conditionalFormatting>
  <conditionalFormatting sqref="R6:R35 R46:R78">
    <cfRule type="cellIs" priority="11" operator="equal" dxfId="0">
      <formula>"Unsatisfactory"</formula>
    </cfRule>
    <cfRule type="cellIs" priority="12" operator="equal" dxfId="1">
      <formula>"Satisfactory"</formula>
    </cfRule>
    <cfRule type="cellIs" priority="13" operator="equal" dxfId="2">
      <formula>"Good"</formula>
    </cfRule>
    <cfRule type="cellIs" priority="14" operator="equal" dxfId="3">
      <formula>"Very good"</formula>
    </cfRule>
    <cfRule type="cellIs" priority="15" operator="equal" dxfId="4">
      <formula>"Excellent"</formula>
    </cfRule>
  </conditionalFormatting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T8"/>
  <sheetViews>
    <sheetView workbookViewId="0">
      <selection activeCell="O14" sqref="O14"/>
    </sheetView>
  </sheetViews>
  <sheetFormatPr baseColWidth="8" defaultColWidth="9" defaultRowHeight="15" outlineLevelRow="7"/>
  <cols>
    <col width="40.6285714285714" customWidth="1" style="70" min="2" max="2"/>
    <col width="11.1238095238095" customWidth="1" style="70" min="8" max="8"/>
  </cols>
  <sheetData>
    <row r="4" ht="23.25" customHeight="1" s="70">
      <c r="B4" s="29" t="inlineStr">
        <is>
          <t xml:space="preserve">Staff No </t>
        </is>
      </c>
      <c r="C4" s="30">
        <f>'Mod-1 Participant''s Feedback'!D5</f>
        <v/>
      </c>
      <c r="D4" s="30">
        <f>'Mod-1 Participant''s Feedback'!E5</f>
        <v/>
      </c>
      <c r="E4" s="30">
        <f>'Mod-1 Participant''s Feedback'!F5</f>
        <v/>
      </c>
      <c r="F4" s="30">
        <f>'Mod-1 Participant''s Feedback'!G5</f>
        <v/>
      </c>
      <c r="G4" s="30">
        <f>'Mod-1 Participant''s Feedback'!H5</f>
        <v/>
      </c>
      <c r="H4" s="30">
        <f>'Mod-1 Participant''s Feedback'!I5</f>
        <v/>
      </c>
      <c r="I4" s="30">
        <f>'Mod-1 Participant''s Feedback'!J5</f>
        <v/>
      </c>
      <c r="J4" s="30">
        <f>'Mod-1 Participant''s Feedback'!K5</f>
        <v/>
      </c>
      <c r="K4" s="30">
        <f>'Mod-1 Participant''s Feedback'!L5</f>
        <v/>
      </c>
      <c r="L4" s="30">
        <f>'Mod-1 Participant''s Feedback'!M5</f>
        <v/>
      </c>
      <c r="M4" s="30">
        <f>'Mod-1 Participant''s Feedback'!N5</f>
        <v/>
      </c>
      <c r="N4" s="30">
        <f>'Mod-1 Participant''s Feedback'!O5</f>
        <v/>
      </c>
      <c r="O4" s="30">
        <f>'Mod-1 Participant''s Feedback'!P5</f>
        <v/>
      </c>
      <c r="P4" s="30">
        <f>'Mod-1 Participant''s Feedback'!#REF!</f>
        <v/>
      </c>
      <c r="Q4" s="30">
        <f>'Mod-1 Participant''s Feedback'!#REF!</f>
        <v/>
      </c>
      <c r="R4" s="30">
        <f>'Mod-1 Participant''s Feedback'!#REF!</f>
        <v/>
      </c>
      <c r="S4" s="30">
        <f>'Mod-1 Participant''s Feedback'!#REF!</f>
        <v/>
      </c>
      <c r="T4" s="30" t="inlineStr">
        <is>
          <t>Average</t>
        </is>
      </c>
    </row>
    <row r="5" ht="23.25" customHeight="1" s="70">
      <c r="B5" s="29" t="inlineStr">
        <is>
          <t>Delivery Notes (Course Material)</t>
        </is>
      </c>
      <c r="C5" s="31">
        <f>'Mod-1 Participant''s Feedback'!D75</f>
        <v/>
      </c>
      <c r="D5" s="31">
        <f>'Mod-1 Participant''s Feedback'!E75</f>
        <v/>
      </c>
      <c r="E5" s="31">
        <f>'Mod-1 Participant''s Feedback'!F75</f>
        <v/>
      </c>
      <c r="F5" s="31">
        <f>'Mod-1 Participant''s Feedback'!G75</f>
        <v/>
      </c>
      <c r="G5" s="31">
        <f>'Mod-1 Participant''s Feedback'!H75</f>
        <v/>
      </c>
      <c r="H5" s="31">
        <f>'Mod-1 Participant''s Feedback'!I75</f>
        <v/>
      </c>
      <c r="I5" s="31">
        <f>'Mod-1 Participant''s Feedback'!J75</f>
        <v/>
      </c>
      <c r="J5" s="31">
        <f>'Mod-1 Participant''s Feedback'!K75</f>
        <v/>
      </c>
      <c r="K5" s="31">
        <f>'Mod-1 Participant''s Feedback'!L75</f>
        <v/>
      </c>
      <c r="L5" s="31">
        <f>'Mod-1 Participant''s Feedback'!M75</f>
        <v/>
      </c>
      <c r="M5" s="31">
        <f>'Mod-1 Participant''s Feedback'!N75</f>
        <v/>
      </c>
      <c r="N5" s="31">
        <f>'Mod-1 Participant''s Feedback'!O75</f>
        <v/>
      </c>
      <c r="O5" s="31">
        <f>'Mod-1 Participant''s Feedback'!P75</f>
        <v/>
      </c>
      <c r="P5" s="31">
        <f>'Mod-1 Participant''s Feedback'!#REF!</f>
        <v/>
      </c>
      <c r="Q5" s="31">
        <f>'Mod-1 Participant''s Feedback'!#REF!</f>
        <v/>
      </c>
      <c r="R5" s="31">
        <f>'Mod-1 Participant''s Feedback'!#REF!</f>
        <v/>
      </c>
      <c r="S5" s="31">
        <f>'Mod-1 Participant''s Feedback'!#REF!</f>
        <v/>
      </c>
      <c r="T5" s="99">
        <f>AVERAGE(C5:S5)</f>
        <v/>
      </c>
    </row>
    <row r="6" ht="23.25" customHeight="1" s="70">
      <c r="B6" s="29" t="inlineStr">
        <is>
          <t>Communication &amp; Overall Coordination</t>
        </is>
      </c>
      <c r="C6" s="31">
        <f>'Mod-1 Participant''s Feedback'!D76</f>
        <v/>
      </c>
      <c r="D6" s="31">
        <f>'Mod-1 Participant''s Feedback'!E76</f>
        <v/>
      </c>
      <c r="E6" s="31">
        <f>'Mod-1 Participant''s Feedback'!F76</f>
        <v/>
      </c>
      <c r="F6" s="31">
        <f>'Mod-1 Participant''s Feedback'!G76</f>
        <v/>
      </c>
      <c r="G6" s="31">
        <f>'Mod-1 Participant''s Feedback'!H76</f>
        <v/>
      </c>
      <c r="H6" s="31">
        <f>'Mod-1 Participant''s Feedback'!I76</f>
        <v/>
      </c>
      <c r="I6" s="31">
        <f>'Mod-1 Participant''s Feedback'!J76</f>
        <v/>
      </c>
      <c r="J6" s="31">
        <f>'Mod-1 Participant''s Feedback'!K76</f>
        <v/>
      </c>
      <c r="K6" s="31">
        <f>'Mod-1 Participant''s Feedback'!L76</f>
        <v/>
      </c>
      <c r="L6" s="31">
        <f>'Mod-1 Participant''s Feedback'!M76</f>
        <v/>
      </c>
      <c r="M6" s="31">
        <f>'Mod-1 Participant''s Feedback'!N76</f>
        <v/>
      </c>
      <c r="N6" s="31">
        <f>'Mod-1 Participant''s Feedback'!O76</f>
        <v/>
      </c>
      <c r="O6" s="31">
        <f>'Mod-1 Participant''s Feedback'!P76</f>
        <v/>
      </c>
      <c r="P6" s="31">
        <f>'Mod-1 Participant''s Feedback'!#REF!</f>
        <v/>
      </c>
      <c r="Q6" s="31">
        <f>'Mod-1 Participant''s Feedback'!#REF!</f>
        <v/>
      </c>
      <c r="R6" s="31">
        <f>'Mod-1 Participant''s Feedback'!#REF!</f>
        <v/>
      </c>
      <c r="S6" s="31">
        <f>'Mod-1 Participant''s Feedback'!#REF!</f>
        <v/>
      </c>
      <c r="T6" s="99">
        <f>AVERAGE(C6:S6)</f>
        <v/>
      </c>
    </row>
    <row r="7" ht="23.25" customHeight="1" s="70">
      <c r="B7" s="29" t="inlineStr">
        <is>
          <t>Classroom Facilities</t>
        </is>
      </c>
      <c r="C7" s="31">
        <f>'Mod-1 Participant''s Feedback'!D77</f>
        <v/>
      </c>
      <c r="D7" s="31">
        <f>'Mod-1 Participant''s Feedback'!E77</f>
        <v/>
      </c>
      <c r="E7" s="31">
        <f>'Mod-1 Participant''s Feedback'!F77</f>
        <v/>
      </c>
      <c r="F7" s="31">
        <f>'Mod-1 Participant''s Feedback'!G77</f>
        <v/>
      </c>
      <c r="G7" s="31">
        <f>'Mod-1 Participant''s Feedback'!H77</f>
        <v/>
      </c>
      <c r="H7" s="31">
        <f>'Mod-1 Participant''s Feedback'!I77</f>
        <v/>
      </c>
      <c r="I7" s="31">
        <f>'Mod-1 Participant''s Feedback'!J77</f>
        <v/>
      </c>
      <c r="J7" s="31">
        <f>'Mod-1 Participant''s Feedback'!K77</f>
        <v/>
      </c>
      <c r="K7" s="31">
        <f>'Mod-1 Participant''s Feedback'!L77</f>
        <v/>
      </c>
      <c r="L7" s="31">
        <f>'Mod-1 Participant''s Feedback'!M77</f>
        <v/>
      </c>
      <c r="M7" s="31">
        <f>'Mod-1 Participant''s Feedback'!N77</f>
        <v/>
      </c>
      <c r="N7" s="31">
        <f>'Mod-1 Participant''s Feedback'!O77</f>
        <v/>
      </c>
      <c r="O7" s="31">
        <f>'Mod-1 Participant''s Feedback'!P77</f>
        <v/>
      </c>
      <c r="P7" s="31">
        <f>'Mod-1 Participant''s Feedback'!#REF!</f>
        <v/>
      </c>
      <c r="Q7" s="31">
        <f>'Mod-1 Participant''s Feedback'!#REF!</f>
        <v/>
      </c>
      <c r="R7" s="31">
        <f>'Mod-1 Participant''s Feedback'!#REF!</f>
        <v/>
      </c>
      <c r="S7" s="31">
        <f>'Mod-1 Participant''s Feedback'!#REF!</f>
        <v/>
      </c>
      <c r="T7" s="99">
        <f>AVERAGE(C7:S7)</f>
        <v/>
      </c>
    </row>
    <row r="8" ht="23.25" customHeight="1" s="70">
      <c r="B8" s="29" t="inlineStr">
        <is>
          <t>Relevance to your current job</t>
        </is>
      </c>
      <c r="C8" s="31">
        <f>'Mod-1 Participant''s Feedback'!D78</f>
        <v/>
      </c>
      <c r="D8" s="31">
        <f>'Mod-1 Participant''s Feedback'!E78</f>
        <v/>
      </c>
      <c r="E8" s="31">
        <f>'Mod-1 Participant''s Feedback'!F78</f>
        <v/>
      </c>
      <c r="F8" s="31">
        <f>'Mod-1 Participant''s Feedback'!G78</f>
        <v/>
      </c>
      <c r="G8" s="31">
        <f>'Mod-1 Participant''s Feedback'!H78</f>
        <v/>
      </c>
      <c r="H8" s="31">
        <f>'Mod-1 Participant''s Feedback'!I78</f>
        <v/>
      </c>
      <c r="I8" s="31">
        <f>'Mod-1 Participant''s Feedback'!J78</f>
        <v/>
      </c>
      <c r="J8" s="31">
        <f>'Mod-1 Participant''s Feedback'!K78</f>
        <v/>
      </c>
      <c r="K8" s="31">
        <f>'Mod-1 Participant''s Feedback'!L78</f>
        <v/>
      </c>
      <c r="L8" s="31">
        <f>'Mod-1 Participant''s Feedback'!M78</f>
        <v/>
      </c>
      <c r="M8" s="31">
        <f>'Mod-1 Participant''s Feedback'!N78</f>
        <v/>
      </c>
      <c r="N8" s="31">
        <f>'Mod-1 Participant''s Feedback'!O78</f>
        <v/>
      </c>
      <c r="O8" s="31">
        <f>'Mod-1 Participant''s Feedback'!P78</f>
        <v/>
      </c>
      <c r="P8" s="31">
        <f>'Mod-1 Participant''s Feedback'!#REF!</f>
        <v/>
      </c>
      <c r="Q8" s="31">
        <f>'Mod-1 Participant''s Feedback'!#REF!</f>
        <v/>
      </c>
      <c r="R8" s="31">
        <f>'Mod-1 Participant''s Feedback'!#REF!</f>
        <v/>
      </c>
      <c r="S8" s="31">
        <f>'Mod-1 Participant''s Feedback'!#REF!</f>
        <v/>
      </c>
      <c r="T8" s="99">
        <f>AVERAGE(C8:S8)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10" workbookViewId="0">
      <selection activeCell="B31" sqref="B31"/>
    </sheetView>
  </sheetViews>
  <sheetFormatPr baseColWidth="8" defaultColWidth="9" defaultRowHeight="15"/>
  <cols>
    <col width="6.24761904761905" customWidth="1" style="70" min="1" max="1"/>
    <col width="9.62857142857143" customWidth="1" style="70" min="2" max="2"/>
    <col width="47.3714285714286" customWidth="1" style="16" min="3" max="3"/>
    <col width="71.1238095238095" customWidth="1" style="17" min="4" max="4"/>
  </cols>
  <sheetData>
    <row r="1" ht="68.25" customHeight="1" s="70">
      <c r="A1" s="100" t="inlineStr">
        <is>
          <t xml:space="preserve">Certified Manager of Quality / Organizational Excellence  Batch - 12  
(Date: 3rd to 08th Aug-2026 ) Module -1 </t>
        </is>
      </c>
      <c r="B1" s="86" t="n"/>
      <c r="C1" s="86" t="n"/>
      <c r="D1" s="87" t="n"/>
    </row>
    <row r="2" ht="21" customHeight="1" s="70">
      <c r="A2" s="21" t="inlineStr">
        <is>
          <t>Overall Program Feedback</t>
        </is>
      </c>
      <c r="B2" s="86" t="n"/>
      <c r="C2" s="86" t="n"/>
      <c r="D2" s="87" t="n"/>
    </row>
    <row r="3" ht="30" customHeight="1" s="70">
      <c r="A3" s="22" t="inlineStr">
        <is>
          <t>SL No</t>
        </is>
      </c>
      <c r="B3" s="22" t="inlineStr">
        <is>
          <t>Staff No</t>
        </is>
      </c>
      <c r="C3" s="23" t="inlineStr">
        <is>
          <t>What are the other quality training programs you want us to add in training calendar ?</t>
        </is>
      </c>
      <c r="D3" s="22" t="inlineStr">
        <is>
          <t>Any Suggestions for the future program ?</t>
        </is>
      </c>
    </row>
    <row r="4" s="70">
      <c r="A4" s="24" t="n">
        <v>1</v>
      </c>
      <c r="B4" s="24">
        <f>INDEX('Mod-1 Participant''s Feedback'!$D$5:$HS$5,ROW(A1))</f>
        <v/>
      </c>
      <c r="C4" s="25">
        <f>INDEX('Mod-1 Participant''s Feedback'!$D$79:$HS$79,ROW(A1))</f>
        <v/>
      </c>
      <c r="D4" s="26">
        <f>INDEX('Mod-1 Participant''s Feedback'!$D$80:$HS$80,ROW(A1))</f>
        <v/>
      </c>
    </row>
    <row r="5" s="70">
      <c r="A5" s="24" t="n">
        <v>2</v>
      </c>
      <c r="B5" s="24">
        <f>INDEX('Mod-1 Participant''s Feedback'!$D$5:$HS$5,ROW(A2))</f>
        <v/>
      </c>
      <c r="C5" s="25">
        <f>INDEX('Mod-1 Participant''s Feedback'!$D$79:$HS$79,ROW(A2))</f>
        <v/>
      </c>
      <c r="D5" s="27">
        <f>INDEX('Mod-1 Participant''s Feedback'!$D$80:$HS$80,ROW(A2))</f>
        <v/>
      </c>
    </row>
    <row r="6" s="70">
      <c r="A6" s="24" t="n">
        <v>3</v>
      </c>
      <c r="B6" s="24">
        <f>INDEX('Mod-1 Participant''s Feedback'!$D$5:$HS$5,ROW(A3))</f>
        <v/>
      </c>
      <c r="C6" s="25">
        <f>INDEX('Mod-1 Participant''s Feedback'!$D$79:$HS$79,ROW(A3))</f>
        <v/>
      </c>
      <c r="D6" s="26">
        <f>INDEX('Mod-1 Participant''s Feedback'!$D$80:$HS$80,ROW(A3))</f>
        <v/>
      </c>
    </row>
    <row r="7" s="70">
      <c r="A7" s="24" t="n">
        <v>4</v>
      </c>
      <c r="B7" s="24">
        <f>INDEX('Mod-1 Participant''s Feedback'!$D$5:$HS$5,ROW(A4))</f>
        <v/>
      </c>
      <c r="C7" s="25">
        <f>INDEX('Mod-1 Participant''s Feedback'!$D$79:$HS$79,ROW(A4))</f>
        <v/>
      </c>
      <c r="D7" s="26">
        <f>INDEX('Mod-1 Participant''s Feedback'!$D$80:$HS$80,ROW(A4))</f>
        <v/>
      </c>
    </row>
    <row r="8" s="70">
      <c r="A8" s="24" t="n">
        <v>5</v>
      </c>
      <c r="B8" s="24">
        <f>INDEX('Mod-1 Participant''s Feedback'!$D$5:$HS$5,ROW(A5))</f>
        <v/>
      </c>
      <c r="C8" s="25">
        <f>INDEX('Mod-1 Participant''s Feedback'!$D$79:$HS$79,ROW(A5))</f>
        <v/>
      </c>
      <c r="D8" s="26">
        <f>INDEX('Mod-1 Participant''s Feedback'!$D$80:$HS$80,ROW(A5))</f>
        <v/>
      </c>
    </row>
    <row r="9" s="70">
      <c r="A9" s="24" t="n">
        <v>6</v>
      </c>
      <c r="B9" s="24">
        <f>INDEX('Mod-1 Participant''s Feedback'!$D$5:$HS$5,ROW(A6))</f>
        <v/>
      </c>
      <c r="C9" s="25">
        <f>INDEX('Mod-1 Participant''s Feedback'!$D$79:$HS$79,ROW(A6))</f>
        <v/>
      </c>
      <c r="D9" s="26">
        <f>INDEX('Mod-1 Participant''s Feedback'!$D$80:$HS$80,ROW(A6))</f>
        <v/>
      </c>
    </row>
    <row r="10" s="70">
      <c r="A10" s="24" t="n">
        <v>7</v>
      </c>
      <c r="B10" s="24">
        <f>INDEX('Mod-1 Participant''s Feedback'!$D$5:$HS$5,ROW(A7))</f>
        <v/>
      </c>
      <c r="C10" s="25">
        <f>INDEX('Mod-1 Participant''s Feedback'!$D$79:$HS$79,ROW(A7))</f>
        <v/>
      </c>
      <c r="D10" s="27">
        <f>INDEX('Mod-1 Participant''s Feedback'!$D$80:$HS$80,ROW(A7))</f>
        <v/>
      </c>
      <c r="H10" s="85" t="inlineStr">
        <is>
          <t>-</t>
        </is>
      </c>
    </row>
    <row r="11" s="70">
      <c r="A11" s="24" t="n">
        <v>8</v>
      </c>
      <c r="B11" s="24">
        <f>INDEX('Mod-1 Participant''s Feedback'!$D$5:$HS$5,ROW(A8))</f>
        <v/>
      </c>
      <c r="C11" s="25">
        <f>INDEX('Mod-1 Participant''s Feedback'!$D$79:$HS$79,ROW(A8))</f>
        <v/>
      </c>
      <c r="D11" s="26">
        <f>INDEX('Mod-1 Participant''s Feedback'!$D$80:$HS$80,ROW(A8))</f>
        <v/>
      </c>
    </row>
    <row r="12" s="70">
      <c r="A12" s="24" t="n">
        <v>9</v>
      </c>
      <c r="B12" s="24">
        <f>INDEX('Mod-1 Participant''s Feedback'!$D$5:$HS$5,ROW(A9))</f>
        <v/>
      </c>
      <c r="C12" s="25">
        <f>INDEX('Mod-1 Participant''s Feedback'!$D$79:$HS$79,ROW(A9))</f>
        <v/>
      </c>
      <c r="D12" s="27">
        <f>INDEX('Mod-1 Participant''s Feedback'!$D$80:$HS$80,ROW(A9))</f>
        <v/>
      </c>
    </row>
    <row r="13" s="70">
      <c r="A13" s="24" t="n">
        <v>10</v>
      </c>
      <c r="B13" s="24">
        <f>INDEX('Mod-1 Participant''s Feedback'!$D$5:$HS$5,ROW(A10))</f>
        <v/>
      </c>
      <c r="C13" s="25">
        <f>INDEX('Mod-1 Participant''s Feedback'!$D$79:$HS$79,ROW(A10))</f>
        <v/>
      </c>
      <c r="D13" s="27">
        <f>INDEX('Mod-1 Participant''s Feedback'!$D$80:$HS$80,ROW(A10))</f>
        <v/>
      </c>
    </row>
    <row r="14" s="70">
      <c r="A14" s="24" t="n">
        <v>11</v>
      </c>
      <c r="B14" s="24">
        <f>INDEX('Mod-1 Participant''s Feedback'!$D$5:$HS$5,ROW(A11))</f>
        <v/>
      </c>
      <c r="C14" s="28">
        <f>INDEX('Mod-1 Participant''s Feedback'!$D$79:$HS$79,ROW(A11))</f>
        <v/>
      </c>
      <c r="D14" s="27">
        <f>INDEX('Mod-1 Participant''s Feedback'!$D$80:$HS$80,ROW(A11))</f>
        <v/>
      </c>
    </row>
    <row r="15" s="70">
      <c r="A15" s="24" t="n">
        <v>12</v>
      </c>
      <c r="B15" s="24">
        <f>INDEX('Mod-1 Participant''s Feedback'!$D$5:$HS$5,ROW(A12))</f>
        <v/>
      </c>
      <c r="C15" s="25">
        <f>INDEX('Mod-1 Participant''s Feedback'!$D$79:$HS$79,ROW(A12))</f>
        <v/>
      </c>
      <c r="D15" s="27">
        <f>INDEX('Mod-1 Participant''s Feedback'!$D$80:$HS$80,ROW(A12))</f>
        <v/>
      </c>
    </row>
    <row r="16" s="70">
      <c r="A16" s="24" t="n">
        <v>13</v>
      </c>
      <c r="B16" s="24">
        <f>INDEX('Mod-1 Participant''s Feedback'!$D$5:$HS$5,ROW(A13))</f>
        <v/>
      </c>
      <c r="C16" s="25">
        <f>INDEX('Mod-1 Participant''s Feedback'!$D$79:$HS$79,ROW(A13))</f>
        <v/>
      </c>
      <c r="D16" s="27">
        <f>INDEX('Mod-1 Participant''s Feedback'!$D$80:$HS$80,ROW(A13))</f>
        <v/>
      </c>
    </row>
  </sheetData>
  <mergeCells count="2">
    <mergeCell ref="A1:D1"/>
    <mergeCell ref="A2:D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G22" sqref="G22"/>
    </sheetView>
  </sheetViews>
  <sheetFormatPr baseColWidth="8" defaultColWidth="9" defaultRowHeight="15"/>
  <cols>
    <col width="10" customWidth="1" style="70" min="1" max="4"/>
    <col width="10" customWidth="1" style="70" min="5" max="6"/>
    <col width="10" customWidth="1" style="70" min="7" max="7"/>
  </cols>
  <sheetData>
    <row r="1">
      <c r="A1" s="1" t="inlineStr">
        <is>
          <t>SS</t>
        </is>
      </c>
      <c r="B1" s="1" t="inlineStr">
        <is>
          <t>UG</t>
        </is>
      </c>
      <c r="C1" s="1" t="inlineStr">
        <is>
          <t>B K</t>
        </is>
      </c>
      <c r="D1" s="1" t="inlineStr">
        <is>
          <t>JK</t>
        </is>
      </c>
      <c r="E1" s="1" t="inlineStr">
        <is>
          <t>A M</t>
        </is>
      </c>
      <c r="F1" s="1" t="inlineStr">
        <is>
          <t>S K Das</t>
        </is>
      </c>
      <c r="G1" s="1" t="inlineStr">
        <is>
          <t>K V</t>
        </is>
      </c>
    </row>
    <row r="2">
      <c r="A2" s="101" t="n">
        <v>9.30769230769231</v>
      </c>
      <c r="B2" s="102" t="n">
        <v>9.53846153846154</v>
      </c>
      <c r="C2" s="101" t="n">
        <v>9.30769230769231</v>
      </c>
      <c r="D2" s="89" t="n">
        <v>9.30769230769231</v>
      </c>
      <c r="E2" s="101" t="n">
        <v>8.84615384615385</v>
      </c>
      <c r="F2" s="101" t="n">
        <v>9.46153846153846</v>
      </c>
      <c r="G2" s="103" t="n">
        <v>9.38461538461539</v>
      </c>
    </row>
    <row r="3">
      <c r="A3" s="101" t="n">
        <v>9.30769230769231</v>
      </c>
      <c r="B3" s="101" t="n">
        <v>9.46153846153846</v>
      </c>
      <c r="C3" s="101" t="n">
        <v>9.38461538461539</v>
      </c>
      <c r="D3" s="89" t="n">
        <v>9.30769230769231</v>
      </c>
      <c r="E3" s="101" t="n">
        <v>8.61538461538461</v>
      </c>
      <c r="F3" s="101" t="n">
        <v>9.46153846153846</v>
      </c>
      <c r="G3" s="104" t="n">
        <v>9.46153846153846</v>
      </c>
    </row>
    <row r="4">
      <c r="A4" s="101" t="n">
        <v>9.07692307692308</v>
      </c>
      <c r="B4" s="102" t="n">
        <v>9.38461538461539</v>
      </c>
      <c r="C4" s="101" t="n">
        <v>9.46153846153846</v>
      </c>
      <c r="D4" s="89" t="n">
        <v>9.46153846153846</v>
      </c>
      <c r="E4" s="101" t="n">
        <v>8.61538461538461</v>
      </c>
      <c r="F4" s="101" t="n">
        <v>9.38461538461539</v>
      </c>
      <c r="G4" s="104" t="n">
        <v>9.53846153846154</v>
      </c>
    </row>
    <row r="5">
      <c r="A5" s="101" t="n">
        <v>9.07692307692308</v>
      </c>
      <c r="B5" s="101" t="n">
        <v>9.53846153846154</v>
      </c>
      <c r="C5" s="101" t="n">
        <v>9.30769230769231</v>
      </c>
      <c r="D5" s="89" t="n">
        <v>9.38461538461539</v>
      </c>
      <c r="E5" s="101" t="n">
        <v>8.61538461538461</v>
      </c>
      <c r="F5" s="101" t="n">
        <v>9.53846153846154</v>
      </c>
      <c r="G5" s="104" t="n">
        <v>9.46153846153846</v>
      </c>
    </row>
    <row r="6">
      <c r="A6" s="101" t="n">
        <v>9.30769230769231</v>
      </c>
      <c r="B6" s="105" t="n">
        <v>9.46153846153846</v>
      </c>
      <c r="C6" s="101" t="n">
        <v>9.38461538461539</v>
      </c>
      <c r="D6" s="89" t="n">
        <v>9.07692307692308</v>
      </c>
      <c r="E6" s="101" t="n">
        <v>8.53846153846154</v>
      </c>
      <c r="F6" s="101" t="n">
        <v>9.23076923076923</v>
      </c>
      <c r="G6" s="104" t="n">
        <v>9.38461538461539</v>
      </c>
      <c r="T6" s="106" t="n"/>
    </row>
    <row r="7">
      <c r="A7" s="101" t="n">
        <v>9.30769230769231</v>
      </c>
      <c r="B7" s="101" t="n">
        <v>9.38461538461539</v>
      </c>
      <c r="C7" s="101" t="n"/>
      <c r="D7" s="101" t="n">
        <v>9.30769230769231</v>
      </c>
      <c r="E7" s="101" t="n"/>
      <c r="F7" s="101" t="n"/>
      <c r="G7" s="101" t="n"/>
      <c r="T7" s="96" t="n"/>
    </row>
    <row r="8">
      <c r="A8" s="101" t="n">
        <v>9.46153846153846</v>
      </c>
      <c r="B8" s="102" t="n">
        <v>9.30769230769231</v>
      </c>
      <c r="C8" s="101" t="n"/>
      <c r="D8" s="101" t="n">
        <v>9.38461538461539</v>
      </c>
      <c r="E8" s="101" t="n"/>
      <c r="F8" s="101" t="n"/>
      <c r="G8" s="101" t="n"/>
      <c r="T8" s="106" t="n"/>
    </row>
    <row r="9">
      <c r="A9" s="101" t="n">
        <v>9.30769230769231</v>
      </c>
      <c r="B9" s="101" t="n">
        <v>9.53846153846154</v>
      </c>
      <c r="C9" s="101" t="n"/>
      <c r="D9" s="101" t="n">
        <v>9.53846153846154</v>
      </c>
      <c r="E9" s="101" t="n"/>
      <c r="F9" s="101" t="n"/>
      <c r="G9" s="101" t="n"/>
      <c r="T9" s="96" t="n"/>
    </row>
    <row r="10">
      <c r="A10" s="101" t="n">
        <v>9.38461538461539</v>
      </c>
      <c r="B10" s="102" t="n">
        <v>9.30769230769231</v>
      </c>
      <c r="C10" s="101" t="n"/>
      <c r="D10" s="101" t="n">
        <v>9.30769230769231</v>
      </c>
      <c r="E10" s="101" t="n"/>
      <c r="F10" s="101" t="n"/>
      <c r="G10" s="101" t="n"/>
      <c r="T10" s="106" t="n"/>
    </row>
    <row r="11">
      <c r="A11" s="101" t="n">
        <v>9.30769230769231</v>
      </c>
      <c r="B11" s="107" t="n">
        <v>9.30769230769231</v>
      </c>
      <c r="C11" s="101" t="n"/>
      <c r="D11" s="101" t="n">
        <v>9.38461538461539</v>
      </c>
      <c r="E11" s="101" t="n"/>
      <c r="F11" s="101" t="n"/>
      <c r="G11" s="101" t="n"/>
      <c r="T11" s="96" t="n"/>
    </row>
    <row r="12">
      <c r="A12" s="101" t="n">
        <v>9.69230769230769</v>
      </c>
      <c r="B12" s="101" t="n">
        <v>9.23076923076923</v>
      </c>
      <c r="C12" s="12" t="n"/>
      <c r="D12" s="101" t="n"/>
      <c r="E12" s="101" t="n"/>
      <c r="F12" s="101" t="n"/>
      <c r="G12" s="101" t="n"/>
      <c r="T12" s="106" t="n"/>
    </row>
    <row r="13">
      <c r="A13" s="101" t="n">
        <v>9.61538461538461</v>
      </c>
      <c r="B13" s="101" t="n">
        <v>9.53846153846154</v>
      </c>
      <c r="C13" s="12" t="n"/>
      <c r="D13" s="101" t="n"/>
      <c r="E13" s="101" t="n"/>
      <c r="F13" s="101" t="n"/>
      <c r="G13" s="101" t="n"/>
      <c r="T13" s="96" t="n"/>
    </row>
    <row r="14" s="70">
      <c r="A14" s="101" t="n">
        <v>9.61538461538461</v>
      </c>
      <c r="B14" s="101" t="n">
        <v>9.30769230769231</v>
      </c>
      <c r="C14" s="12" t="n"/>
      <c r="D14" s="101" t="n"/>
      <c r="E14" s="101" t="n"/>
      <c r="F14" s="101" t="n"/>
      <c r="G14" s="101" t="n"/>
      <c r="T14" s="106" t="n"/>
    </row>
    <row r="15" s="70">
      <c r="A15" s="101" t="n">
        <v>9.38461538461539</v>
      </c>
      <c r="B15" s="101" t="n">
        <v>9.46153846153846</v>
      </c>
      <c r="C15" s="12" t="n"/>
      <c r="D15" s="101" t="n"/>
      <c r="E15" s="101" t="n"/>
      <c r="F15" s="101" t="n"/>
      <c r="G15" s="101" t="n"/>
      <c r="T15" s="96" t="n"/>
    </row>
    <row r="16" s="70">
      <c r="A16" s="104" t="n">
        <v>9.38461538461539</v>
      </c>
      <c r="B16" s="108" t="n">
        <v>9.4</v>
      </c>
      <c r="C16" s="12" t="n"/>
      <c r="D16" s="104" t="n"/>
      <c r="E16" s="104" t="n"/>
      <c r="F16" s="104" t="n"/>
      <c r="G16" s="104" t="n"/>
      <c r="T16" s="96" t="n"/>
    </row>
    <row r="17" s="70">
      <c r="A17" s="104" t="n">
        <v>9.38461538461539</v>
      </c>
      <c r="B17" s="108" t="n">
        <v>9.30769230769231</v>
      </c>
      <c r="C17" s="12" t="n"/>
      <c r="D17" s="104" t="n"/>
      <c r="E17" s="104" t="n"/>
      <c r="F17" s="104" t="n"/>
      <c r="G17" s="104" t="n"/>
      <c r="T17" s="96" t="n"/>
    </row>
    <row r="18" s="70">
      <c r="A18" s="104" t="n">
        <v>9.46153846153846</v>
      </c>
      <c r="B18" s="108" t="n">
        <v>9.38461538461539</v>
      </c>
      <c r="C18" s="12" t="n"/>
      <c r="D18" s="104" t="n"/>
      <c r="E18" s="104" t="n"/>
      <c r="F18" s="104" t="n"/>
      <c r="G18" s="104" t="n"/>
      <c r="T18" s="96" t="n"/>
    </row>
    <row r="19" s="70">
      <c r="A19" s="104" t="n">
        <v>9.46153846153846</v>
      </c>
      <c r="B19" s="108" t="n">
        <v>9.61538461538461</v>
      </c>
      <c r="C19" s="12" t="n"/>
      <c r="D19" s="104" t="n"/>
      <c r="E19" s="104" t="n"/>
      <c r="F19" s="104" t="n"/>
      <c r="G19" s="104" t="n"/>
      <c r="T19" s="96" t="n"/>
    </row>
    <row r="20" s="70">
      <c r="A20" s="104" t="n">
        <v>9.53846153846154</v>
      </c>
      <c r="B20" s="108" t="n">
        <v>9.53846153846154</v>
      </c>
      <c r="C20" s="12" t="n"/>
      <c r="D20" s="104" t="n"/>
      <c r="E20" s="104" t="n"/>
      <c r="F20" s="104" t="n"/>
      <c r="G20" s="104" t="n"/>
      <c r="T20" s="96" t="n"/>
    </row>
    <row r="21">
      <c r="A21" s="101" t="n"/>
      <c r="B21" s="101" t="n">
        <v>9.46153846153846</v>
      </c>
      <c r="C21" s="12" t="n"/>
      <c r="D21" s="101" t="n"/>
      <c r="E21" s="101" t="n"/>
      <c r="F21" s="101" t="n"/>
      <c r="G21" s="101" t="n"/>
    </row>
    <row r="22" ht="19.5" customHeight="1" s="70">
      <c r="A22" s="109">
        <f>AVERAGE(A2:A21)</f>
        <v/>
      </c>
      <c r="B22" s="109">
        <f>AVERAGE(B2:B21)</f>
        <v/>
      </c>
      <c r="C22" s="109">
        <f>AVERAGE(C2:C21)</f>
        <v/>
      </c>
      <c r="D22" s="109">
        <f>AVERAGE(D2:D21)</f>
        <v/>
      </c>
      <c r="E22" s="109">
        <f>AVERAGE(E2:E21)</f>
        <v/>
      </c>
      <c r="F22" s="109">
        <f>AVERAGE(F2:F21)</f>
        <v/>
      </c>
      <c r="G22" s="109">
        <f>AVERAGE(G2:G21)</f>
        <v/>
      </c>
    </row>
    <row r="24">
      <c r="C24" s="110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</dc:creator>
  <dcterms:created xmlns:dcterms="http://purl.org/dc/terms/" xmlns:xsi="http://www.w3.org/2001/XMLSchema-instance" xsi:type="dcterms:W3CDTF">2023-08-09T05:17:00Z</dcterms:created>
  <dcterms:modified xmlns:dcterms="http://purl.org/dc/terms/" xmlns:xsi="http://www.w3.org/2001/XMLSchema-instance" xsi:type="dcterms:W3CDTF">2026-09-03T18:07:57Z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81678CC11DF84E678140CF2FD2E25D68_12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