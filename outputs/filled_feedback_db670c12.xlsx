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tables/table2.xml" ContentType="application/vnd.openxmlformats-officedocument.spreadsheetml.table+xml"/>
  <Override PartName="/xl/worksheets/sheet9.xml" ContentType="application/vnd.openxmlformats-officedocument.spreadsheetml.worksheet+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5" autoFilterDateGrouping="1"/>
  </bookViews>
  <sheets>
    <sheet xmlns:r="http://schemas.openxmlformats.org/officeDocument/2006/relationships" name="Mod-1 Participant's Feedback" sheetId="1" state="visible" r:id="rId1"/>
    <sheet xmlns:r="http://schemas.openxmlformats.org/officeDocument/2006/relationships" name="Mod-1 Overall Feedback" sheetId="2" state="visible" r:id="rId2"/>
    <sheet xmlns:r="http://schemas.openxmlformats.org/officeDocument/2006/relationships" name="Mod-1Suggestions" sheetId="3" state="visible" r:id="rId3"/>
    <sheet xmlns:r="http://schemas.openxmlformats.org/officeDocument/2006/relationships" name="Sheet1" sheetId="4" state="visible" r:id="rId4"/>
    <sheet xmlns:r="http://schemas.openxmlformats.org/officeDocument/2006/relationships" name="Mod-2 Participant's Feedback" sheetId="5" state="visible" r:id="rId5"/>
    <sheet xmlns:r="http://schemas.openxmlformats.org/officeDocument/2006/relationships" name="Mod-2 Overall Feedback" sheetId="6" state="visible" r:id="rId6"/>
    <sheet xmlns:r="http://schemas.openxmlformats.org/officeDocument/2006/relationships" name="Mod-2 Suggestions" sheetId="7" state="visible" r:id="rId7"/>
    <sheet xmlns:r="http://schemas.openxmlformats.org/officeDocument/2006/relationships" name="Sheet 2" sheetId="8" state="visible" r:id="rId8"/>
    <sheet xmlns:r="http://schemas.openxmlformats.org/officeDocument/2006/relationships" name="Shedule"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
    <numFmt numFmtId="165" formatCode="m/d/yyyy"/>
    <numFmt numFmtId="166" formatCode="[$-F800]dddd&quot;, &quot;mmmm\ dd&quot;, &quot;yyyy"/>
  </numFmts>
  <fonts count="27">
    <font>
      <name val="Calibri"/>
      <charset val="1"/>
      <family val="2"/>
      <color theme="1"/>
      <sz val="11"/>
    </font>
    <font>
      <name val="Arial"/>
      <family val="0"/>
      <sz val="10"/>
    </font>
    <font>
      <name val="Arial"/>
      <family val="0"/>
      <sz val="10"/>
    </font>
    <font>
      <name val="Arial"/>
      <family val="0"/>
      <sz val="10"/>
    </font>
    <font>
      <name val="Calibri"/>
      <charset val="1"/>
      <family val="2"/>
      <color rgb="FF0000FF"/>
      <sz val="11"/>
      <u val="single"/>
    </font>
    <font>
      <name val="Calibri"/>
      <charset val="1"/>
      <family val="2"/>
      <color rgb="FF000000"/>
      <sz val="11"/>
    </font>
    <font>
      <name val="Arial"/>
      <charset val="1"/>
      <family val="2"/>
      <b val="1"/>
      <sz val="16"/>
    </font>
    <font>
      <name val="Arial"/>
      <charset val="1"/>
      <family val="2"/>
      <b val="1"/>
      <sz val="20"/>
    </font>
    <font>
      <name val="Arial"/>
      <charset val="1"/>
      <family val="2"/>
      <b val="1"/>
      <sz val="14"/>
    </font>
    <font>
      <name val="Arial"/>
      <charset val="1"/>
      <family val="2"/>
      <b val="1"/>
      <sz val="12"/>
    </font>
    <font>
      <name val="Arial"/>
      <charset val="1"/>
      <family val="2"/>
      <b val="1"/>
      <sz val="11"/>
    </font>
    <font>
      <name val="Calibri"/>
      <charset val="1"/>
      <family val="2"/>
      <b val="1"/>
      <color theme="1"/>
      <sz val="12"/>
    </font>
    <font>
      <name val="Calibri"/>
      <charset val="1"/>
      <family val="2"/>
      <b val="1"/>
      <color theme="1"/>
      <sz val="18"/>
    </font>
    <font>
      <name val="Calibri"/>
      <charset val="1"/>
      <family val="2"/>
      <b val="1"/>
      <color theme="1"/>
      <sz val="16"/>
    </font>
    <font>
      <name val="Book Antiqua"/>
      <charset val="1"/>
      <family val="1"/>
      <b val="1"/>
      <color theme="1"/>
      <sz val="11"/>
    </font>
    <font>
      <name val="Book Antiqua"/>
      <charset val="1"/>
      <family val="1"/>
      <sz val="12"/>
    </font>
    <font>
      <name val="Book Antiqua"/>
      <charset val="1"/>
      <family val="1"/>
      <color theme="1"/>
      <sz val="11"/>
    </font>
    <font>
      <name val="Calibri"/>
      <charset val="1"/>
      <family val="2"/>
      <b val="1"/>
      <color theme="1"/>
      <sz val="14"/>
    </font>
    <font>
      <name val="Calibri"/>
      <family val="2"/>
      <color rgb="FF000000"/>
      <sz val="10"/>
    </font>
    <font>
      <name val="Calibri"/>
      <charset val="1"/>
      <family val="0"/>
      <color theme="1"/>
      <sz val="10"/>
    </font>
    <font>
      <name val="Arial"/>
      <charset val="1"/>
      <family val="0"/>
      <b val="1"/>
      <sz val="10"/>
    </font>
    <font>
      <name val="Lucida Bright"/>
      <charset val="1"/>
      <family val="1"/>
      <sz val="20"/>
    </font>
    <font>
      <name val="Lucida Bright"/>
      <charset val="1"/>
      <family val="1"/>
      <b val="1"/>
      <sz val="12"/>
    </font>
    <font>
      <name val="Lucida Bright"/>
      <charset val="1"/>
      <family val="1"/>
      <b val="1"/>
      <color rgb="FFFF0000"/>
      <sz val="12"/>
    </font>
    <font>
      <name val="Lucida Bright"/>
      <charset val="1"/>
      <family val="1"/>
      <color theme="1"/>
      <sz val="12"/>
    </font>
    <font>
      <name val="Lucida Bright"/>
      <charset val="1"/>
      <family val="1"/>
      <sz val="12"/>
    </font>
    <font>
      <name val="Lucida Bright"/>
      <charset val="1"/>
      <family val="1"/>
      <b val="1"/>
      <color theme="1"/>
      <sz val="11"/>
    </font>
  </fonts>
  <fills count="9">
    <fill>
      <patternFill/>
    </fill>
    <fill>
      <patternFill patternType="gray125"/>
    </fill>
    <fill>
      <patternFill patternType="solid">
        <fgColor rgb="FFFFFF00"/>
        <bgColor rgb="FFFFFF00"/>
      </patternFill>
    </fill>
    <fill>
      <patternFill patternType="solid">
        <fgColor rgb="FF92D050"/>
        <bgColor rgb="FFAABAD7"/>
      </patternFill>
    </fill>
    <fill>
      <patternFill patternType="solid">
        <fgColor theme="8" tint="0.7999000000000001"/>
        <bgColor rgb="FFCCFFFF"/>
      </patternFill>
    </fill>
    <fill>
      <patternFill patternType="solid">
        <fgColor rgb="FF00B050"/>
        <bgColor rgb="FF008080"/>
      </patternFill>
    </fill>
    <fill>
      <patternFill patternType="solid">
        <fgColor rgb="FFFFC000"/>
        <bgColor rgb="FFFF9900"/>
      </patternFill>
    </fill>
    <fill>
      <patternFill patternType="solid">
        <fgColor rgb="FF00B0F0"/>
        <bgColor rgb="FF33CCCC"/>
      </patternFill>
    </fill>
    <fill>
      <patternFill patternType="solid">
        <fgColor theme="6" tint="-0.25"/>
        <bgColor rgb="FF878787"/>
      </patternFill>
    </fill>
  </fills>
  <borders count="42">
    <border>
      <left/>
      <right/>
      <top/>
      <bottom/>
      <diagonal/>
    </border>
    <border>
      <left style="medium"/>
      <right/>
      <top style="medium"/>
      <bottom/>
      <diagonal/>
    </border>
    <border>
      <left/>
      <right/>
      <top style="medium"/>
      <bottom/>
      <diagonal/>
    </border>
    <border>
      <left/>
      <right style="medium"/>
      <top style="medium"/>
      <bottom/>
      <diagonal/>
    </border>
    <border>
      <left style="thin"/>
      <right style="thin"/>
      <top style="thin"/>
      <bottom style="thin"/>
      <diagonal/>
    </border>
    <border>
      <left/>
      <right/>
      <top/>
      <bottom style="medium"/>
      <diagonal/>
    </border>
    <border>
      <left style="medium"/>
      <right/>
      <top style="medium"/>
      <bottom style="thin"/>
      <diagonal/>
    </border>
    <border>
      <left style="medium"/>
      <right/>
      <top style="thin"/>
      <bottom style="thin"/>
      <diagonal/>
    </border>
    <border>
      <left style="medium"/>
      <right/>
      <top style="thin"/>
      <bottom style="medium"/>
      <diagonal/>
    </border>
    <border>
      <left style="thin"/>
      <right style="thin"/>
      <top style="thin"/>
      <bottom/>
      <diagonal/>
    </border>
    <border>
      <left style="thin"/>
      <right style="thin"/>
      <top style="thin"/>
      <bottom style="medium"/>
      <diagonal/>
    </border>
    <border>
      <left/>
      <right style="medium"/>
      <top/>
      <bottom style="thin"/>
      <diagonal/>
    </border>
    <border>
      <left style="thin"/>
      <right/>
      <top style="thin"/>
      <bottom style="thin"/>
      <diagonal/>
    </border>
    <border>
      <left/>
      <right/>
      <top style="thin"/>
      <bottom style="thin"/>
      <diagonal/>
    </border>
    <border>
      <left/>
      <right/>
      <top style="thin"/>
      <bottom/>
      <diagonal/>
    </border>
    <border>
      <left/>
      <right style="thin"/>
      <top style="thin"/>
      <bottom/>
      <diagonal/>
    </border>
    <border>
      <left style="medium"/>
      <right style="thin"/>
      <top/>
      <bottom style="thin"/>
      <diagonal/>
    </border>
    <border>
      <left style="medium"/>
      <right style="thin"/>
      <top style="thin"/>
      <bottom style="thin"/>
      <diagonal/>
    </border>
    <border>
      <left style="medium"/>
      <right style="thin"/>
      <top style="thin"/>
      <bottom style="medium"/>
      <diagonal/>
    </border>
    <border>
      <left style="thin"/>
      <right style="thin"/>
      <top/>
      <bottom style="thin"/>
      <diagonal/>
    </border>
    <border>
      <left/>
      <right style="thin"/>
      <top/>
      <bottom style="thin"/>
      <diagonal/>
    </border>
    <border>
      <left style="thin"/>
      <right/>
      <top/>
      <bottom style="thin"/>
      <diagonal/>
    </border>
    <border>
      <left style="medium"/>
      <right style="thin"/>
      <top style="medium"/>
      <bottom/>
      <diagonal/>
    </border>
    <border>
      <left style="medium"/>
      <right style="medium"/>
      <top/>
      <bottom/>
      <diagonal/>
    </border>
    <border>
      <left style="thin"/>
      <right style="medium"/>
      <top style="thin"/>
      <bottom style="thin"/>
      <diagonal/>
    </border>
    <border>
      <left style="thin"/>
      <right style="medium"/>
      <top style="thin"/>
      <bottom/>
      <diagonal/>
    </border>
    <border>
      <left style="thin"/>
      <right style="thin"/>
      <top style="medium"/>
      <bottom style="thin"/>
      <diagonal/>
    </border>
    <border>
      <left/>
      <right style="thin"/>
      <top style="thin"/>
      <bottom style="thin"/>
      <diagonal/>
    </border>
    <border>
      <left style="thin"/>
      <right/>
      <top/>
      <bottom/>
      <diagonal/>
    </border>
    <border>
      <left style="thin"/>
      <right style="thin"/>
      <top/>
      <bottom/>
      <diagonal/>
    </border>
    <border>
      <left/>
      <right/>
      <top style="medium"/>
      <bottom style="thin"/>
      <diagonal/>
    </border>
    <border>
      <left/>
      <right/>
      <top style="thin"/>
      <bottom style="medium"/>
      <diagonal/>
    </border>
    <border>
      <left/>
      <right style="medium"/>
      <top/>
      <bottom/>
      <diagonal/>
    </border>
    <border>
      <left/>
      <right/>
      <top/>
      <bottom style="thin"/>
      <diagonal/>
    </border>
    <border>
      <left/>
      <right style="thin"/>
      <top/>
      <bottom/>
      <diagonal/>
    </border>
    <border>
      <left/>
      <right style="thin"/>
      <top style="medium"/>
      <bottom/>
      <diagonal/>
    </border>
    <border>
      <left style="medium"/>
      <right/>
      <top/>
      <bottom/>
      <diagonal/>
    </border>
    <border>
      <left style="medium"/>
      <right style="thin"/>
      <top/>
      <bottom/>
      <diagonal/>
    </border>
    <border>
      <left style="thin"/>
      <right style="medium"/>
      <top/>
      <bottom/>
      <diagonal/>
    </border>
    <border>
      <left style="thin"/>
      <right style="medium"/>
      <top/>
      <bottom style="thin"/>
      <diagonal/>
    </border>
    <border>
      <left/>
      <right style="thin"/>
      <top style="thin"/>
      <bottom style="medium"/>
      <diagonal/>
    </border>
    <border>
      <left/>
      <right style="thin"/>
      <top style="medium"/>
      <bottom style="thin"/>
      <diagonal/>
    </border>
  </borders>
  <cellStyleXfs count="9">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23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1" applyAlignment="1" pivotButton="0" quotePrefix="0" xfId="0">
      <alignment horizontal="general" vertical="bottom"/>
    </xf>
    <xf numFmtId="0" fontId="0" fillId="0" borderId="2" applyAlignment="1" pivotButton="0" quotePrefix="0" xfId="0">
      <alignment horizontal="general" vertical="bottom"/>
    </xf>
    <xf numFmtId="2" fontId="0" fillId="0" borderId="2" applyAlignment="1" pivotButton="0" quotePrefix="0" xfId="0">
      <alignment horizontal="general" vertical="bottom"/>
    </xf>
    <xf numFmtId="0" fontId="0" fillId="0" borderId="3" applyAlignment="1" pivotButton="0" quotePrefix="0" xfId="0">
      <alignment horizontal="general" vertical="bottom"/>
    </xf>
    <xf numFmtId="0" fontId="6" fillId="2" borderId="4" applyAlignment="1" pivotButton="0" quotePrefix="0" xfId="0">
      <alignment horizontal="center" vertical="center"/>
    </xf>
    <xf numFmtId="0" fontId="7" fillId="2" borderId="4" applyAlignment="1" pivotButton="0" quotePrefix="0" xfId="0">
      <alignment horizontal="center" vertical="center"/>
    </xf>
    <xf numFmtId="0" fontId="8" fillId="3" borderId="4" applyAlignment="1" pivotButton="0" quotePrefix="0" xfId="0">
      <alignment horizontal="center"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4" applyAlignment="1" pivotButton="0" quotePrefix="0" xfId="0">
      <alignment horizontal="center" vertical="center" wrapText="1"/>
    </xf>
    <xf numFmtId="0" fontId="9" fillId="2" borderId="4" applyAlignment="1" pivotButton="0" quotePrefix="0" xfId="0">
      <alignment horizontal="center" vertical="center"/>
    </xf>
    <xf numFmtId="0" fontId="8" fillId="2" borderId="4" applyAlignment="1" pivotButton="0" quotePrefix="0" xfId="0">
      <alignment horizontal="center" vertical="center"/>
    </xf>
    <xf numFmtId="2" fontId="9" fillId="2" borderId="4" applyAlignment="1" pivotButton="0" quotePrefix="0" xfId="0">
      <alignment horizontal="center" vertical="center"/>
    </xf>
    <xf numFmtId="0" fontId="9" fillId="0" borderId="4" applyAlignment="1" pivotButton="0" quotePrefix="0" xfId="0">
      <alignment horizontal="center" vertical="center"/>
    </xf>
    <xf numFmtId="0" fontId="9" fillId="0" borderId="4"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4" applyAlignment="1" pivotButton="0" quotePrefix="0" xfId="0">
      <alignment horizontal="center" vertical="center"/>
    </xf>
    <xf numFmtId="0" fontId="10" fillId="4" borderId="4" applyAlignment="1" pivotButton="0" quotePrefix="0" xfId="0">
      <alignment horizontal="center" vertical="bottom"/>
    </xf>
    <xf numFmtId="164" fontId="10" fillId="4" borderId="4" applyAlignment="1" pivotButton="0" quotePrefix="0" xfId="0">
      <alignment horizontal="center" vertical="bottom"/>
    </xf>
    <xf numFmtId="0" fontId="9" fillId="3" borderId="4" applyAlignment="1" pivotButton="0" quotePrefix="0" xfId="0">
      <alignment horizontal="center" vertical="center"/>
    </xf>
    <xf numFmtId="0" fontId="10" fillId="0" borderId="4" applyAlignment="1" pivotButton="0" quotePrefix="0" xfId="0">
      <alignment horizontal="center" vertical="bottom"/>
    </xf>
    <xf numFmtId="0" fontId="9" fillId="0" borderId="0" applyAlignment="1" pivotButton="0" quotePrefix="0" xfId="0">
      <alignment horizontal="center" vertical="center" wrapText="1"/>
    </xf>
    <xf numFmtId="49" fontId="10" fillId="0" borderId="4" applyAlignment="1" pivotButton="0" quotePrefix="0" xfId="0">
      <alignment horizontal="center" vertical="center"/>
    </xf>
    <xf numFmtId="0" fontId="10" fillId="0" borderId="4" applyAlignment="1" pivotButton="0" quotePrefix="0" xfId="0">
      <alignment horizontal="center" vertical="center" wrapText="1"/>
    </xf>
    <xf numFmtId="0" fontId="10" fillId="0" borderId="4" applyAlignment="1" pivotButton="0" quotePrefix="0" xfId="0">
      <alignment horizontal="center" vertical="top" wrapText="1"/>
    </xf>
    <xf numFmtId="0" fontId="10" fillId="0" borderId="4" applyAlignment="1" pivotButton="0" quotePrefix="0" xfId="0">
      <alignment horizontal="center" vertical="center"/>
    </xf>
    <xf numFmtId="0" fontId="10" fillId="0" borderId="4" applyAlignment="1" pivotButton="0" quotePrefix="0" xfId="0">
      <alignment horizontal="left" vertical="center" wrapText="1"/>
    </xf>
    <xf numFmtId="164" fontId="10" fillId="0" borderId="0" applyAlignment="1" pivotButton="0" quotePrefix="0" xfId="0">
      <alignment horizontal="center" vertical="bottom"/>
    </xf>
    <xf numFmtId="0" fontId="9" fillId="0" borderId="0" applyAlignment="1" pivotButton="0" quotePrefix="0" xfId="0">
      <alignment horizontal="center" vertical="center"/>
    </xf>
    <xf numFmtId="0" fontId="10" fillId="0" borderId="0" applyAlignment="1" pivotButton="0" quotePrefix="0" xfId="0">
      <alignment horizontal="center" vertical="bottom"/>
    </xf>
    <xf numFmtId="0" fontId="0" fillId="0" borderId="5" applyAlignment="1" pivotButton="0" quotePrefix="0" xfId="0">
      <alignment horizontal="general" vertical="bottom"/>
    </xf>
    <xf numFmtId="0" fontId="10" fillId="0" borderId="5" applyAlignment="1" pivotButton="0" quotePrefix="0" xfId="0">
      <alignment horizontal="center" vertical="bottom"/>
    </xf>
    <xf numFmtId="0" fontId="9" fillId="5" borderId="6" applyAlignment="1" pivotButton="0" quotePrefix="0" xfId="0">
      <alignment horizontal="center" vertical="center"/>
    </xf>
    <xf numFmtId="0" fontId="9" fillId="3" borderId="7" applyAlignment="1" pivotButton="0" quotePrefix="0" xfId="0">
      <alignment horizontal="center" vertical="center"/>
    </xf>
    <xf numFmtId="0" fontId="9" fillId="2" borderId="7" applyAlignment="1" pivotButton="0" quotePrefix="0" xfId="0">
      <alignment horizontal="center" vertical="center"/>
    </xf>
    <xf numFmtId="0" fontId="9" fillId="6" borderId="7" applyAlignment="1" pivotButton="0" quotePrefix="0" xfId="0">
      <alignment horizontal="center" vertical="center"/>
    </xf>
    <xf numFmtId="0" fontId="9" fillId="7" borderId="8" applyAlignment="1" pivotButton="0" quotePrefix="0" xfId="0">
      <alignment horizontal="center" vertical="center"/>
    </xf>
    <xf numFmtId="0" fontId="11" fillId="3" borderId="4" applyAlignment="1" pivotButton="0" quotePrefix="0" xfId="0">
      <alignment horizontal="center" vertical="bottom"/>
    </xf>
    <xf numFmtId="0" fontId="0" fillId="3" borderId="4" applyAlignment="1" pivotButton="0" quotePrefix="0" xfId="0">
      <alignment horizontal="center" vertical="bottom"/>
    </xf>
    <xf numFmtId="0" fontId="0" fillId="0" borderId="4" applyAlignment="1" pivotButton="0" quotePrefix="0" xfId="0">
      <alignment horizontal="center" vertical="bottom"/>
    </xf>
    <xf numFmtId="164" fontId="0" fillId="3" borderId="4" applyAlignment="1" pivotButton="0" quotePrefix="0" xfId="0">
      <alignment horizontal="center" vertical="bottom"/>
    </xf>
    <xf numFmtId="0" fontId="0" fillId="0" borderId="0" applyAlignment="1" pivotButton="0" quotePrefix="0" xfId="0">
      <alignment horizontal="center" vertical="bottom"/>
    </xf>
    <xf numFmtId="0" fontId="0" fillId="0" borderId="0" applyAlignment="1" pivotButton="0" quotePrefix="0" xfId="0">
      <alignment horizontal="left" vertical="bottom"/>
    </xf>
    <xf numFmtId="0" fontId="12" fillId="0" borderId="4" applyAlignment="1" pivotButton="0" quotePrefix="0" xfId="0">
      <alignment horizontal="center" vertical="bottom"/>
    </xf>
    <xf numFmtId="0" fontId="13" fillId="0" borderId="4" applyAlignment="1" pivotButton="0" quotePrefix="0" xfId="0">
      <alignment horizontal="center" vertical="center"/>
    </xf>
    <xf numFmtId="0" fontId="14" fillId="0" borderId="4" applyAlignment="1" pivotButton="0" quotePrefix="0" xfId="0">
      <alignment horizontal="center" vertical="center"/>
    </xf>
    <xf numFmtId="0" fontId="14" fillId="0" borderId="4" applyAlignment="1" pivotButton="0" quotePrefix="0" xfId="0">
      <alignment horizontal="center" vertical="bottom" wrapText="1"/>
    </xf>
    <xf numFmtId="0" fontId="15" fillId="0" borderId="4" applyAlignment="1" pivotButton="0" quotePrefix="0" xfId="0">
      <alignment horizontal="center" vertical="center"/>
    </xf>
    <xf numFmtId="49" fontId="16" fillId="0" borderId="4" applyAlignment="1" pivotButton="0" quotePrefix="0" xfId="0">
      <alignment horizontal="center" vertical="bottom"/>
    </xf>
    <xf numFmtId="0" fontId="16" fillId="0" borderId="4" applyAlignment="1" pivotButton="0" quotePrefix="0" xfId="0">
      <alignment horizontal="center" vertical="bottom"/>
    </xf>
    <xf numFmtId="0" fontId="16" fillId="0" borderId="4" applyAlignment="1" pivotButton="0" quotePrefix="0" xfId="0">
      <alignment horizontal="center" vertical="bottom" wrapText="1"/>
    </xf>
    <xf numFmtId="49" fontId="16" fillId="0" borderId="4" applyAlignment="1" pivotButton="0" quotePrefix="0" xfId="0">
      <alignment horizontal="center" vertical="bottom" wrapText="1"/>
    </xf>
    <xf numFmtId="0" fontId="0" fillId="0" borderId="0" applyAlignment="1" pivotButton="0" quotePrefix="0" xfId="0">
      <alignment horizontal="center" vertical="center"/>
    </xf>
    <xf numFmtId="164" fontId="10" fillId="0" borderId="4" applyAlignment="1" pivotButton="0" quotePrefix="0" xfId="0">
      <alignment horizontal="center" vertical="bottom"/>
    </xf>
    <xf numFmtId="164" fontId="10" fillId="0" borderId="9" applyAlignment="1" pivotButton="0" quotePrefix="0" xfId="0">
      <alignment horizontal="center" vertical="bottom"/>
    </xf>
    <xf numFmtId="0" fontId="0" fillId="0" borderId="4" applyAlignment="1" pivotButton="0" quotePrefix="0" xfId="0">
      <alignment horizontal="general" vertical="bottom"/>
    </xf>
    <xf numFmtId="164" fontId="17" fillId="8" borderId="10" applyAlignment="1" pivotButton="0" quotePrefix="0" xfId="0">
      <alignment horizontal="center" vertical="bottom"/>
    </xf>
    <xf numFmtId="164" fontId="0" fillId="0" borderId="0" applyAlignment="1" pivotButton="0" quotePrefix="0" xfId="0">
      <alignment horizontal="general" vertical="bottom"/>
    </xf>
    <xf numFmtId="0" fontId="0" fillId="0" borderId="11" applyAlignment="1" pivotButton="0" quotePrefix="0" xfId="0">
      <alignment horizontal="center" vertical="bottom"/>
    </xf>
    <xf numFmtId="0" fontId="8" fillId="3" borderId="9" applyAlignment="1" pivotButton="0" quotePrefix="0" xfId="0">
      <alignment horizontal="center" vertical="center"/>
    </xf>
    <xf numFmtId="0" fontId="9" fillId="3" borderId="9" applyAlignment="1" pivotButton="0" quotePrefix="0" xfId="0">
      <alignment horizontal="center" vertical="center"/>
    </xf>
    <xf numFmtId="0" fontId="9" fillId="3" borderId="12" applyAlignment="1" pivotButton="0" quotePrefix="0" xfId="0">
      <alignment horizontal="left" vertical="center"/>
    </xf>
    <xf numFmtId="0" fontId="9" fillId="3" borderId="13" applyAlignment="1" pivotButton="0" quotePrefix="0" xfId="0">
      <alignment horizontal="left" vertical="center"/>
    </xf>
    <xf numFmtId="0" fontId="9" fillId="3" borderId="14" applyAlignment="1" pivotButton="0" quotePrefix="0" xfId="0">
      <alignment horizontal="left" vertical="center"/>
    </xf>
    <xf numFmtId="0" fontId="9" fillId="3" borderId="15" applyAlignment="1" pivotButton="0" quotePrefix="0" xfId="0">
      <alignment horizontal="left" vertical="center"/>
    </xf>
    <xf numFmtId="0" fontId="9" fillId="4" borderId="16" applyAlignment="1" pivotButton="0" quotePrefix="0" xfId="0">
      <alignment horizontal="center" vertical="center"/>
    </xf>
    <xf numFmtId="0" fontId="9" fillId="4" borderId="17" applyAlignment="1" pivotButton="0" quotePrefix="0" xfId="0">
      <alignment horizontal="center" vertical="center"/>
    </xf>
    <xf numFmtId="0" fontId="9" fillId="0" borderId="17" applyAlignment="1" pivotButton="0" quotePrefix="0" xfId="0">
      <alignment horizontal="center" vertical="center"/>
    </xf>
    <xf numFmtId="0" fontId="9" fillId="0" borderId="18" applyAlignment="1" pivotButton="0" quotePrefix="0" xfId="0">
      <alignment horizontal="center" vertical="center"/>
    </xf>
    <xf numFmtId="0" fontId="9" fillId="4" borderId="19" applyAlignment="1" pivotButton="0" quotePrefix="0" xfId="0">
      <alignment horizontal="center" vertical="center" wrapText="1"/>
    </xf>
    <xf numFmtId="0" fontId="19" fillId="0" borderId="4" applyAlignment="1" pivotButton="0" quotePrefix="0" xfId="0">
      <alignment horizontal="general" vertical="bottom"/>
    </xf>
    <xf numFmtId="0" fontId="0" fillId="0" borderId="20" applyAlignment="1" pivotButton="0" quotePrefix="0" xfId="0">
      <alignment horizontal="general" vertical="bottom"/>
    </xf>
    <xf numFmtId="0" fontId="0" fillId="0" borderId="19" applyAlignment="1" pivotButton="0" quotePrefix="0" xfId="0">
      <alignment horizontal="general" vertical="bottom"/>
    </xf>
    <xf numFmtId="0" fontId="0" fillId="0" borderId="21" applyAlignment="1" pivotButton="0" quotePrefix="0" xfId="0">
      <alignment horizontal="general" vertical="bottom"/>
    </xf>
    <xf numFmtId="0" fontId="0" fillId="0" borderId="0" applyAlignment="1" pivotButton="0" quotePrefix="0" xfId="0">
      <alignment horizontal="distributed" vertical="bottom"/>
    </xf>
    <xf numFmtId="0" fontId="0" fillId="0" borderId="12" applyAlignment="1" pivotButton="0" quotePrefix="0" xfId="0">
      <alignment horizontal="general" vertical="bottom"/>
    </xf>
    <xf numFmtId="0" fontId="20" fillId="0" borderId="9" applyAlignment="1" pivotButton="0" quotePrefix="0" xfId="0">
      <alignment horizontal="center" vertical="bottom"/>
    </xf>
    <xf numFmtId="0" fontId="21" fillId="0" borderId="22" applyAlignment="1" pivotButton="0" quotePrefix="0" xfId="0">
      <alignment horizontal="center" vertical="center"/>
    </xf>
    <xf numFmtId="0" fontId="22" fillId="0" borderId="23" applyAlignment="1" pivotButton="0" quotePrefix="0" xfId="0">
      <alignment horizontal="center" vertical="center" wrapText="1"/>
    </xf>
    <xf numFmtId="0" fontId="23" fillId="0" borderId="16" applyAlignment="1" pivotButton="0" quotePrefix="0" xfId="0">
      <alignment horizontal="center" vertical="center" wrapText="1"/>
    </xf>
    <xf numFmtId="0" fontId="22" fillId="2" borderId="17" applyAlignment="1" pivotButton="0" quotePrefix="0" xfId="0">
      <alignment horizontal="center" vertical="center"/>
    </xf>
    <xf numFmtId="0" fontId="22" fillId="2" borderId="4" applyAlignment="1" pivotButton="0" quotePrefix="0" xfId="0">
      <alignment horizontal="center" vertical="center" wrapText="1"/>
    </xf>
    <xf numFmtId="0" fontId="22" fillId="2" borderId="4" applyAlignment="1" pivotButton="0" quotePrefix="0" xfId="0">
      <alignment horizontal="general" vertical="center" wrapText="1"/>
    </xf>
    <xf numFmtId="0" fontId="22" fillId="2" borderId="24" applyAlignment="1" pivotButton="0" quotePrefix="0" xfId="0">
      <alignment horizontal="center" vertical="center" wrapText="1"/>
    </xf>
    <xf numFmtId="165" fontId="24" fillId="0" borderId="17" applyAlignment="1" pivotButton="0" quotePrefix="0" xfId="0">
      <alignment horizontal="center" vertical="center" wrapText="1"/>
    </xf>
    <xf numFmtId="0" fontId="24" fillId="0" borderId="4" applyAlignment="1" pivotButton="0" quotePrefix="0" xfId="0">
      <alignment horizontal="left" vertical="center" wrapText="1"/>
    </xf>
    <xf numFmtId="0" fontId="25" fillId="0" borderId="4" applyAlignment="1" pivotButton="0" quotePrefix="0" xfId="0">
      <alignment horizontal="left" vertical="center" wrapText="1"/>
    </xf>
    <xf numFmtId="166" fontId="25" fillId="0" borderId="24" applyAlignment="1" pivotButton="0" quotePrefix="0" xfId="0">
      <alignment horizontal="center" vertical="center" wrapText="1"/>
    </xf>
    <xf numFmtId="0" fontId="24" fillId="0" borderId="4" applyAlignment="1" pivotButton="0" quotePrefix="0" xfId="0">
      <alignment horizontal="left" vertical="center"/>
    </xf>
    <xf numFmtId="0" fontId="25" fillId="0" borderId="24" applyAlignment="1" pivotButton="0" quotePrefix="0" xfId="0">
      <alignment horizontal="center" vertical="center" wrapText="1"/>
    </xf>
    <xf numFmtId="165" fontId="25" fillId="0" borderId="17" applyAlignment="1" pivotButton="0" quotePrefix="0" xfId="0">
      <alignment horizontal="center" vertical="center" wrapText="1"/>
    </xf>
    <xf numFmtId="166" fontId="25" fillId="0" borderId="4" applyAlignment="1" pivotButton="0" quotePrefix="0" xfId="0">
      <alignment horizontal="left" vertical="center" wrapText="1"/>
    </xf>
    <xf numFmtId="0" fontId="22" fillId="0" borderId="24" applyAlignment="1" pivotButton="0" quotePrefix="0" xfId="0">
      <alignment horizontal="center" vertical="center" wrapText="1"/>
    </xf>
    <xf numFmtId="0" fontId="25" fillId="0" borderId="4" applyAlignment="1" pivotButton="0" quotePrefix="0" xfId="0">
      <alignment horizontal="left" vertical="center"/>
    </xf>
    <xf numFmtId="166" fontId="25" fillId="0" borderId="9" applyAlignment="1" pivotButton="0" quotePrefix="0" xfId="0">
      <alignment horizontal="general" vertical="center" wrapText="1"/>
    </xf>
    <xf numFmtId="0" fontId="22" fillId="0" borderId="25" applyAlignment="1" pivotButton="0" quotePrefix="0" xfId="0">
      <alignment horizontal="center" vertical="center" wrapText="1"/>
    </xf>
    <xf numFmtId="0" fontId="24" fillId="0" borderId="24" applyAlignment="1" pivotButton="0" quotePrefix="0" xfId="0">
      <alignment horizontal="center" vertical="center" wrapText="1"/>
    </xf>
    <xf numFmtId="0" fontId="26" fillId="0" borderId="24" applyAlignment="1" pivotButton="0" quotePrefix="0" xfId="0">
      <alignment horizontal="center" vertical="center" wrapText="1"/>
    </xf>
    <xf numFmtId="0" fontId="24" fillId="0" borderId="4" applyAlignment="1" pivotButton="0" quotePrefix="0" xfId="0">
      <alignment horizontal="general" vertical="center" wrapText="1"/>
    </xf>
    <xf numFmtId="0" fontId="24" fillId="0" borderId="19" applyAlignment="1" pivotButton="0" quotePrefix="0" xfId="0">
      <alignment horizontal="general" vertical="center" wrapText="1"/>
    </xf>
    <xf numFmtId="0" fontId="25" fillId="0" borderId="17" applyAlignment="1" pivotButton="0" quotePrefix="0" xfId="0">
      <alignment horizontal="center" vertical="center"/>
    </xf>
    <xf numFmtId="0" fontId="25" fillId="0" borderId="4" applyAlignment="1" pivotButton="0" quotePrefix="0" xfId="0">
      <alignment horizontal="center" vertical="center" wrapText="1"/>
    </xf>
    <xf numFmtId="0" fontId="25" fillId="0" borderId="18" applyAlignment="1" pivotButton="0" quotePrefix="0" xfId="0">
      <alignment horizontal="center" vertical="center"/>
    </xf>
    <xf numFmtId="0" fontId="25" fillId="0" borderId="10" applyAlignment="1" pivotButton="0" quotePrefix="0" xfId="0">
      <alignment horizontal="center" vertical="center"/>
    </xf>
    <xf numFmtId="0" fontId="25" fillId="0" borderId="26" applyAlignment="1" pivotButton="0" quotePrefix="0" xfId="0">
      <alignment horizontal="right" vertical="bottom" wrapText="1"/>
    </xf>
    <xf numFmtId="0" fontId="0" fillId="0" borderId="0" applyAlignment="1" pivotButton="0" quotePrefix="0" xfId="0">
      <alignment horizontal="general" vertical="bottom"/>
    </xf>
    <xf numFmtId="0" fontId="0" fillId="0" borderId="0" pivotButton="0" quotePrefix="0" xfId="0"/>
    <xf numFmtId="0" fontId="0" fillId="0" borderId="1" applyAlignment="1" pivotButton="0" quotePrefix="0" xfId="0">
      <alignment horizontal="general" vertical="bottom"/>
    </xf>
    <xf numFmtId="0" fontId="0" fillId="0" borderId="2" applyAlignment="1" pivotButton="0" quotePrefix="0" xfId="0">
      <alignment horizontal="general" vertical="bottom"/>
    </xf>
    <xf numFmtId="2" fontId="0" fillId="0" borderId="2" applyAlignment="1" pivotButton="0" quotePrefix="0" xfId="0">
      <alignment horizontal="general" vertical="bottom"/>
    </xf>
    <xf numFmtId="0" fontId="0" fillId="0" borderId="3" applyAlignment="1" pivotButton="0" quotePrefix="0" xfId="0">
      <alignment horizontal="general" vertical="bottom"/>
    </xf>
    <xf numFmtId="0" fontId="6" fillId="2" borderId="4" applyAlignment="1" pivotButton="0" quotePrefix="0" xfId="0">
      <alignment horizontal="center" vertical="center"/>
    </xf>
    <xf numFmtId="0" fontId="7" fillId="2" borderId="4" applyAlignment="1" pivotButton="0" quotePrefix="0" xfId="0">
      <alignment horizontal="center" vertical="center"/>
    </xf>
    <xf numFmtId="0" fontId="0" fillId="0" borderId="13" pivotButton="0" quotePrefix="0" xfId="0"/>
    <xf numFmtId="0" fontId="0" fillId="0" borderId="27" pivotButton="0" quotePrefix="0" xfId="0"/>
    <xf numFmtId="0" fontId="8" fillId="3" borderId="4" applyAlignment="1" pivotButton="0" quotePrefix="0" xfId="0">
      <alignment horizontal="center"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4" applyAlignment="1" pivotButton="0" quotePrefix="0" xfId="0">
      <alignment horizontal="center" vertical="center" wrapText="1"/>
    </xf>
    <xf numFmtId="0" fontId="9" fillId="2" borderId="4" applyAlignment="1" pivotButton="0" quotePrefix="0" xfId="0">
      <alignment horizontal="center" vertical="center"/>
    </xf>
    <xf numFmtId="0" fontId="8" fillId="2" borderId="4" applyAlignment="1" pivotButton="0" quotePrefix="0" xfId="0">
      <alignment horizontal="center" vertical="center"/>
    </xf>
    <xf numFmtId="2" fontId="9" fillId="2" borderId="4" applyAlignment="1" pivotButton="0" quotePrefix="0" xfId="0">
      <alignment horizontal="center" vertical="center"/>
    </xf>
    <xf numFmtId="0" fontId="0" fillId="0" borderId="19" pivotButton="0" quotePrefix="0" xfId="0"/>
    <xf numFmtId="0" fontId="9" fillId="0" borderId="4" applyAlignment="1" pivotButton="0" quotePrefix="0" xfId="0">
      <alignment horizontal="center" vertical="center"/>
    </xf>
    <xf numFmtId="0" fontId="9" fillId="0" borderId="4"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4" applyAlignment="1" pivotButton="0" quotePrefix="0" xfId="0">
      <alignment horizontal="center" vertical="center"/>
    </xf>
    <xf numFmtId="0" fontId="10" fillId="4" borderId="4" applyAlignment="1" pivotButton="0" quotePrefix="0" xfId="0">
      <alignment horizontal="center" vertical="bottom"/>
    </xf>
    <xf numFmtId="164" fontId="10" fillId="4" borderId="4" applyAlignment="1" pivotButton="0" quotePrefix="0" xfId="0">
      <alignment horizontal="center" vertical="bottom"/>
    </xf>
    <xf numFmtId="0" fontId="0" fillId="0" borderId="29" pivotButton="0" quotePrefix="0" xfId="0"/>
    <xf numFmtId="0" fontId="10" fillId="0" borderId="4" applyAlignment="1" pivotButton="0" quotePrefix="0" xfId="0">
      <alignment horizontal="center" vertical="bottom"/>
    </xf>
    <xf numFmtId="0" fontId="9" fillId="0" borderId="0" applyAlignment="1" pivotButton="0" quotePrefix="0" xfId="0">
      <alignment horizontal="center" vertical="center" wrapText="1"/>
    </xf>
    <xf numFmtId="49" fontId="10" fillId="0" borderId="4" applyAlignment="1" pivotButton="0" quotePrefix="0" xfId="0">
      <alignment horizontal="center" vertical="center"/>
    </xf>
    <xf numFmtId="0" fontId="10" fillId="0" borderId="4" applyAlignment="1" pivotButton="0" quotePrefix="0" xfId="0">
      <alignment horizontal="center" vertical="center" wrapText="1"/>
    </xf>
    <xf numFmtId="0" fontId="10" fillId="0" borderId="4" applyAlignment="1" pivotButton="0" quotePrefix="0" xfId="0">
      <alignment horizontal="center" vertical="top" wrapText="1"/>
    </xf>
    <xf numFmtId="0" fontId="10" fillId="0" borderId="4" applyAlignment="1" pivotButton="0" quotePrefix="0" xfId="0">
      <alignment horizontal="center" vertical="center"/>
    </xf>
    <xf numFmtId="0" fontId="10" fillId="0" borderId="4" applyAlignment="1" pivotButton="0" quotePrefix="0" xfId="0">
      <alignment horizontal="left" vertical="center" wrapText="1"/>
    </xf>
    <xf numFmtId="164" fontId="10" fillId="0" borderId="0" applyAlignment="1" pivotButton="0" quotePrefix="0" xfId="0">
      <alignment horizontal="center" vertical="bottom"/>
    </xf>
    <xf numFmtId="0" fontId="9" fillId="0" borderId="0" applyAlignment="1" pivotButton="0" quotePrefix="0" xfId="0">
      <alignment horizontal="center" vertical="center"/>
    </xf>
    <xf numFmtId="0" fontId="10" fillId="0" borderId="0" applyAlignment="1" pivotButton="0" quotePrefix="0" xfId="0">
      <alignment horizontal="center" vertical="bottom"/>
    </xf>
    <xf numFmtId="0" fontId="0" fillId="0" borderId="5" applyAlignment="1" pivotButton="0" quotePrefix="0" xfId="0">
      <alignment horizontal="general" vertical="bottom"/>
    </xf>
    <xf numFmtId="0" fontId="10" fillId="0" borderId="5" applyAlignment="1" pivotButton="0" quotePrefix="0" xfId="0">
      <alignment horizontal="center" vertical="bottom"/>
    </xf>
    <xf numFmtId="0" fontId="9" fillId="5" borderId="6" applyAlignment="1" pivotButton="0" quotePrefix="0" xfId="0">
      <alignment horizontal="center" vertical="center"/>
    </xf>
    <xf numFmtId="0" fontId="0" fillId="0" borderId="30" pivotButton="0" quotePrefix="0" xfId="0"/>
    <xf numFmtId="0" fontId="9" fillId="3" borderId="7" applyAlignment="1" pivotButton="0" quotePrefix="0" xfId="0">
      <alignment horizontal="center" vertical="center"/>
    </xf>
    <xf numFmtId="0" fontId="9" fillId="2" borderId="7" applyAlignment="1" pivotButton="0" quotePrefix="0" xfId="0">
      <alignment horizontal="center" vertical="center"/>
    </xf>
    <xf numFmtId="0" fontId="9" fillId="6" borderId="7" applyAlignment="1" pivotButton="0" quotePrefix="0" xfId="0">
      <alignment horizontal="center" vertical="center"/>
    </xf>
    <xf numFmtId="0" fontId="9" fillId="7" borderId="8" applyAlignment="1" pivotButton="0" quotePrefix="0" xfId="0">
      <alignment horizontal="center" vertical="center"/>
    </xf>
    <xf numFmtId="0" fontId="0" fillId="0" borderId="31" pivotButton="0" quotePrefix="0" xfId="0"/>
    <xf numFmtId="0" fontId="11" fillId="3" borderId="4" applyAlignment="1" pivotButton="0" quotePrefix="0" xfId="0">
      <alignment horizontal="center" vertical="bottom"/>
    </xf>
    <xf numFmtId="0" fontId="0" fillId="3" borderId="4" applyAlignment="1" pivotButton="0" quotePrefix="0" xfId="0">
      <alignment horizontal="center" vertical="bottom"/>
    </xf>
    <xf numFmtId="0" fontId="0" fillId="0" borderId="4" applyAlignment="1" pivotButton="0" quotePrefix="0" xfId="0">
      <alignment horizontal="center" vertical="bottom"/>
    </xf>
    <xf numFmtId="164" fontId="0" fillId="3" borderId="4" applyAlignment="1" pivotButton="0" quotePrefix="0" xfId="0">
      <alignment horizontal="center" vertical="bottom"/>
    </xf>
    <xf numFmtId="0" fontId="0" fillId="0" borderId="0" applyAlignment="1" pivotButton="0" quotePrefix="0" xfId="0">
      <alignment horizontal="center" vertical="bottom"/>
    </xf>
    <xf numFmtId="0" fontId="0" fillId="0" borderId="0" applyAlignment="1" pivotButton="0" quotePrefix="0" xfId="0">
      <alignment horizontal="left" vertical="bottom"/>
    </xf>
    <xf numFmtId="0" fontId="12" fillId="0" borderId="4" applyAlignment="1" pivotButton="0" quotePrefix="0" xfId="0">
      <alignment horizontal="center" vertical="bottom"/>
    </xf>
    <xf numFmtId="0" fontId="13" fillId="0" borderId="4" applyAlignment="1" pivotButton="0" quotePrefix="0" xfId="0">
      <alignment horizontal="center" vertical="center"/>
    </xf>
    <xf numFmtId="0" fontId="14" fillId="0" borderId="4" applyAlignment="1" pivotButton="0" quotePrefix="0" xfId="0">
      <alignment horizontal="center" vertical="center"/>
    </xf>
    <xf numFmtId="0" fontId="14" fillId="0" borderId="4" applyAlignment="1" pivotButton="0" quotePrefix="0" xfId="0">
      <alignment horizontal="center" vertical="bottom" wrapText="1"/>
    </xf>
    <xf numFmtId="0" fontId="15" fillId="0" borderId="4" applyAlignment="1" pivotButton="0" quotePrefix="0" xfId="0">
      <alignment horizontal="center" vertical="center"/>
    </xf>
    <xf numFmtId="49" fontId="16" fillId="0" borderId="4" applyAlignment="1" pivotButton="0" quotePrefix="0" xfId="0">
      <alignment horizontal="center" vertical="bottom"/>
    </xf>
    <xf numFmtId="0" fontId="16" fillId="0" borderId="4" applyAlignment="1" pivotButton="0" quotePrefix="0" xfId="0">
      <alignment horizontal="center" vertical="bottom"/>
    </xf>
    <xf numFmtId="0" fontId="16" fillId="0" borderId="4" applyAlignment="1" pivotButton="0" quotePrefix="0" xfId="0">
      <alignment horizontal="center" vertical="bottom" wrapText="1"/>
    </xf>
    <xf numFmtId="49" fontId="16" fillId="0" borderId="4" applyAlignment="1" pivotButton="0" quotePrefix="0" xfId="0">
      <alignment horizontal="center" vertical="bottom" wrapText="1"/>
    </xf>
    <xf numFmtId="0" fontId="0" fillId="0" borderId="0" applyAlignment="1" pivotButton="0" quotePrefix="0" xfId="0">
      <alignment horizontal="center" vertical="center"/>
    </xf>
    <xf numFmtId="164" fontId="10" fillId="0" borderId="4" applyAlignment="1" pivotButton="0" quotePrefix="0" xfId="0">
      <alignment horizontal="center" vertical="bottom"/>
    </xf>
    <xf numFmtId="164" fontId="10" fillId="0" borderId="9" applyAlignment="1" pivotButton="0" quotePrefix="0" xfId="0">
      <alignment horizontal="center" vertical="bottom"/>
    </xf>
    <xf numFmtId="0" fontId="0" fillId="0" borderId="4" applyAlignment="1" pivotButton="0" quotePrefix="0" xfId="0">
      <alignment horizontal="general" vertical="bottom"/>
    </xf>
    <xf numFmtId="164" fontId="17" fillId="8" borderId="10" applyAlignment="1" pivotButton="0" quotePrefix="0" xfId="0">
      <alignment horizontal="center" vertical="bottom"/>
    </xf>
    <xf numFmtId="164" fontId="0" fillId="0" borderId="0" applyAlignment="1" pivotButton="0" quotePrefix="0" xfId="0">
      <alignment horizontal="general" vertical="bottom"/>
    </xf>
    <xf numFmtId="0" fontId="0" fillId="0" borderId="11" applyAlignment="1" pivotButton="0" quotePrefix="0" xfId="0">
      <alignment horizontal="center" vertical="bottom"/>
    </xf>
    <xf numFmtId="0" fontId="0" fillId="0" borderId="33" pivotButton="0" quotePrefix="0" xfId="0"/>
    <xf numFmtId="0" fontId="0" fillId="0" borderId="11" pivotButton="0" quotePrefix="0" xfId="0"/>
    <xf numFmtId="0" fontId="8" fillId="3" borderId="9" applyAlignment="1" pivotButton="0" quotePrefix="0" xfId="0">
      <alignment horizontal="center" vertical="center"/>
    </xf>
    <xf numFmtId="0" fontId="9" fillId="3" borderId="9" applyAlignment="1" pivotButton="0" quotePrefix="0" xfId="0">
      <alignment horizontal="center" vertical="center"/>
    </xf>
    <xf numFmtId="0" fontId="9" fillId="3" borderId="12" applyAlignment="1" pivotButton="0" quotePrefix="0" xfId="0">
      <alignment horizontal="left" vertical="center"/>
    </xf>
    <xf numFmtId="0" fontId="9" fillId="3" borderId="13" applyAlignment="1" pivotButton="0" quotePrefix="0" xfId="0">
      <alignment horizontal="left" vertical="center"/>
    </xf>
    <xf numFmtId="0" fontId="9" fillId="3" borderId="14" applyAlignment="1" pivotButton="0" quotePrefix="0" xfId="0">
      <alignment horizontal="left" vertical="center"/>
    </xf>
    <xf numFmtId="0" fontId="9" fillId="3" borderId="15" applyAlignment="1" pivotButton="0" quotePrefix="0" xfId="0">
      <alignment horizontal="left" vertical="center"/>
    </xf>
    <xf numFmtId="0" fontId="9" fillId="4" borderId="16" applyAlignment="1" pivotButton="0" quotePrefix="0" xfId="0">
      <alignment horizontal="center" vertical="center"/>
    </xf>
    <xf numFmtId="0" fontId="9" fillId="4" borderId="17" applyAlignment="1" pivotButton="0" quotePrefix="0" xfId="0">
      <alignment horizontal="center" vertical="center"/>
    </xf>
    <xf numFmtId="0" fontId="9" fillId="0" borderId="17" applyAlignment="1" pivotButton="0" quotePrefix="0" xfId="0">
      <alignment horizontal="center" vertical="center"/>
    </xf>
    <xf numFmtId="0" fontId="9" fillId="0" borderId="18" applyAlignment="1" pivotButton="0" quotePrefix="0" xfId="0">
      <alignment horizontal="center" vertical="center"/>
    </xf>
    <xf numFmtId="0" fontId="9" fillId="4" borderId="19" applyAlignment="1" pivotButton="0" quotePrefix="0" xfId="0">
      <alignment horizontal="center" vertical="center" wrapText="1"/>
    </xf>
    <xf numFmtId="0" fontId="0" fillId="0" borderId="15" pivotButton="0" quotePrefix="0" xfId="0"/>
    <xf numFmtId="0" fontId="0" fillId="0" borderId="28" pivotButton="0" quotePrefix="0" xfId="0"/>
    <xf numFmtId="0" fontId="0" fillId="0" borderId="34" pivotButton="0" quotePrefix="0" xfId="0"/>
    <xf numFmtId="0" fontId="0" fillId="0" borderId="21" pivotButton="0" quotePrefix="0" xfId="0"/>
    <xf numFmtId="0" fontId="0" fillId="0" borderId="20" pivotButton="0" quotePrefix="0" xfId="0"/>
    <xf numFmtId="0" fontId="19" fillId="0" borderId="4" applyAlignment="1" pivotButton="0" quotePrefix="0" xfId="0">
      <alignment horizontal="general" vertical="bottom"/>
    </xf>
    <xf numFmtId="0" fontId="0" fillId="0" borderId="20" applyAlignment="1" pivotButton="0" quotePrefix="0" xfId="0">
      <alignment horizontal="general" vertical="bottom"/>
    </xf>
    <xf numFmtId="0" fontId="0" fillId="0" borderId="19" applyAlignment="1" pivotButton="0" quotePrefix="0" xfId="0">
      <alignment horizontal="general" vertical="bottom"/>
    </xf>
    <xf numFmtId="0" fontId="0" fillId="0" borderId="21" applyAlignment="1" pivotButton="0" quotePrefix="0" xfId="0">
      <alignment horizontal="general" vertical="bottom"/>
    </xf>
    <xf numFmtId="0" fontId="0" fillId="0" borderId="0" applyAlignment="1" pivotButton="0" quotePrefix="0" xfId="0">
      <alignment horizontal="distributed" vertical="bottom"/>
    </xf>
    <xf numFmtId="0" fontId="0" fillId="0" borderId="12" applyAlignment="1" pivotButton="0" quotePrefix="0" xfId="0">
      <alignment horizontal="general" vertical="bottom"/>
    </xf>
    <xf numFmtId="0" fontId="20" fillId="0" borderId="9" applyAlignment="1" pivotButton="0" quotePrefix="0" xfId="0">
      <alignment horizontal="center" vertical="bottom"/>
    </xf>
    <xf numFmtId="0" fontId="21" fillId="0" borderId="22" applyAlignment="1" pivotButton="0" quotePrefix="0" xfId="0">
      <alignment horizontal="center" vertical="center"/>
    </xf>
    <xf numFmtId="0" fontId="0" fillId="0" borderId="2" pivotButton="0" quotePrefix="0" xfId="0"/>
    <xf numFmtId="0" fontId="0" fillId="0" borderId="35" pivotButton="0" quotePrefix="0" xfId="0"/>
    <xf numFmtId="0" fontId="22" fillId="0" borderId="23" applyAlignment="1" pivotButton="0" quotePrefix="0" xfId="0">
      <alignment horizontal="center" vertical="center" wrapText="1"/>
    </xf>
    <xf numFmtId="0" fontId="0" fillId="0" borderId="32" pivotButton="0" quotePrefix="0" xfId="0"/>
    <xf numFmtId="0" fontId="23" fillId="0" borderId="16" applyAlignment="1" pivotButton="0" quotePrefix="0" xfId="0">
      <alignment horizontal="center" vertical="center" wrapText="1"/>
    </xf>
    <xf numFmtId="0" fontId="22" fillId="2" borderId="17" applyAlignment="1" pivotButton="0" quotePrefix="0" xfId="0">
      <alignment horizontal="center" vertical="center"/>
    </xf>
    <xf numFmtId="0" fontId="22" fillId="2" borderId="4" applyAlignment="1" pivotButton="0" quotePrefix="0" xfId="0">
      <alignment horizontal="center" vertical="center" wrapText="1"/>
    </xf>
    <xf numFmtId="0" fontId="22" fillId="2" borderId="4" applyAlignment="1" pivotButton="0" quotePrefix="0" xfId="0">
      <alignment horizontal="general" vertical="center" wrapText="1"/>
    </xf>
    <xf numFmtId="0" fontId="22" fillId="2" borderId="24" applyAlignment="1" pivotButton="0" quotePrefix="0" xfId="0">
      <alignment horizontal="center" vertical="center" wrapText="1"/>
    </xf>
    <xf numFmtId="165" fontId="24" fillId="0" borderId="17" applyAlignment="1" pivotButton="0" quotePrefix="0" xfId="0">
      <alignment horizontal="center" vertical="center" wrapText="1"/>
    </xf>
    <xf numFmtId="0" fontId="24" fillId="0" borderId="4" applyAlignment="1" pivotButton="0" quotePrefix="0" xfId="0">
      <alignment horizontal="left" vertical="center" wrapText="1"/>
    </xf>
    <xf numFmtId="0" fontId="25" fillId="0" borderId="4" applyAlignment="1" pivotButton="0" quotePrefix="0" xfId="0">
      <alignment horizontal="left" vertical="center" wrapText="1"/>
    </xf>
    <xf numFmtId="166" fontId="25" fillId="0" borderId="24" applyAlignment="1" pivotButton="0" quotePrefix="0" xfId="0">
      <alignment horizontal="center" vertical="center" wrapText="1"/>
    </xf>
    <xf numFmtId="0" fontId="0" fillId="0" borderId="37" pivotButton="0" quotePrefix="0" xfId="0"/>
    <xf numFmtId="0" fontId="24" fillId="0" borderId="4" applyAlignment="1" pivotButton="0" quotePrefix="0" xfId="0">
      <alignment horizontal="left" vertical="center"/>
    </xf>
    <xf numFmtId="0" fontId="0" fillId="0" borderId="39" pivotButton="0" quotePrefix="0" xfId="0"/>
    <xf numFmtId="0" fontId="25" fillId="0" borderId="24" applyAlignment="1" pivotButton="0" quotePrefix="0" xfId="0">
      <alignment horizontal="center" vertical="center" wrapText="1"/>
    </xf>
    <xf numFmtId="0" fontId="0" fillId="0" borderId="38" pivotButton="0" quotePrefix="0" xfId="0"/>
    <xf numFmtId="0" fontId="0" fillId="0" borderId="16" pivotButton="0" quotePrefix="0" xfId="0"/>
    <xf numFmtId="165" fontId="25" fillId="0" borderId="17" applyAlignment="1" pivotButton="0" quotePrefix="0" xfId="0">
      <alignment horizontal="center" vertical="center" wrapText="1"/>
    </xf>
    <xf numFmtId="166" fontId="25" fillId="0" borderId="4" applyAlignment="1" pivotButton="0" quotePrefix="0" xfId="0">
      <alignment horizontal="left" vertical="center" wrapText="1"/>
    </xf>
    <xf numFmtId="0" fontId="22" fillId="0" borderId="24" applyAlignment="1" pivotButton="0" quotePrefix="0" xfId="0">
      <alignment horizontal="center" vertical="center" wrapText="1"/>
    </xf>
    <xf numFmtId="0" fontId="25" fillId="0" borderId="4" applyAlignment="1" pivotButton="0" quotePrefix="0" xfId="0">
      <alignment horizontal="left" vertical="center"/>
    </xf>
    <xf numFmtId="166" fontId="25" fillId="0" borderId="9" applyAlignment="1" pivotButton="0" quotePrefix="0" xfId="0">
      <alignment horizontal="general" vertical="center" wrapText="1"/>
    </xf>
    <xf numFmtId="0" fontId="22" fillId="0" borderId="25" applyAlignment="1" pivotButton="0" quotePrefix="0" xfId="0">
      <alignment horizontal="center" vertical="center" wrapText="1"/>
    </xf>
    <xf numFmtId="0" fontId="24" fillId="0" borderId="24" applyAlignment="1" pivotButton="0" quotePrefix="0" xfId="0">
      <alignment horizontal="center" vertical="center" wrapText="1"/>
    </xf>
    <xf numFmtId="0" fontId="26" fillId="0" borderId="24" applyAlignment="1" pivotButton="0" quotePrefix="0" xfId="0">
      <alignment horizontal="center" vertical="center" wrapText="1"/>
    </xf>
    <xf numFmtId="0" fontId="24" fillId="0" borderId="4" applyAlignment="1" pivotButton="0" quotePrefix="0" xfId="0">
      <alignment horizontal="general" vertical="center" wrapText="1"/>
    </xf>
    <xf numFmtId="0" fontId="24" fillId="0" borderId="19" applyAlignment="1" pivotButton="0" quotePrefix="0" xfId="0">
      <alignment horizontal="general" vertical="center" wrapText="1"/>
    </xf>
    <xf numFmtId="0" fontId="25" fillId="0" borderId="17" applyAlignment="1" pivotButton="0" quotePrefix="0" xfId="0">
      <alignment horizontal="center" vertical="center"/>
    </xf>
    <xf numFmtId="0" fontId="25" fillId="0" borderId="4" applyAlignment="1" pivotButton="0" quotePrefix="0" xfId="0">
      <alignment horizontal="center" vertical="center" wrapText="1"/>
    </xf>
    <xf numFmtId="0" fontId="25" fillId="0" borderId="18" applyAlignment="1" pivotButton="0" quotePrefix="0" xfId="0">
      <alignment horizontal="center" vertical="center"/>
    </xf>
    <xf numFmtId="0" fontId="0" fillId="0" borderId="40" pivotButton="0" quotePrefix="0" xfId="0"/>
    <xf numFmtId="0" fontId="25" fillId="0" borderId="10" applyAlignment="1" pivotButton="0" quotePrefix="0" xfId="0">
      <alignment horizontal="center" vertical="center"/>
    </xf>
    <xf numFmtId="0" fontId="25" fillId="0" borderId="26" applyAlignment="1" pivotButton="0" quotePrefix="0" xfId="0">
      <alignment horizontal="right" vertical="bottom" wrapText="1"/>
    </xf>
    <xf numFmtId="0" fontId="0" fillId="0" borderId="41" pivotButton="0" quotePrefix="0" xfId="0"/>
  </cellXfs>
  <cellStyles count="9">
    <cellStyle name="Normal" xfId="0" builtinId="0"/>
    <cellStyle name="Comma" xfId="1" builtinId="3"/>
    <cellStyle name="Comma [0]" xfId="2" builtinId="6"/>
    <cellStyle name="Currency" xfId="3" builtinId="4"/>
    <cellStyle name="Currency [0]" xfId="4" builtinId="7"/>
    <cellStyle name="Percent" xfId="5" builtinId="5"/>
    <cellStyle name="Hyperlink 2" xfId="6"/>
    <cellStyle name="Normal 2" xfId="7"/>
    <cellStyle name="Normal 2 2" xfId="8"/>
  </cellStyles>
  <dxfs count="8">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patternType="solid">
          <fgColor rgb="FF77933C"/>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AABAD7"/>
      <rgbColor rgb="FF878787"/>
      <rgbColor rgb="FF9999FF"/>
      <rgbColor rgb="FF993366"/>
      <rgbColor rgb="FFFFFFCC"/>
      <rgbColor rgb="FFDBEEF4"/>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plotArea>
      <barChart>
        <barDir val="col"/>
        <grouping val="clustered"/>
        <varyColors val="0"/>
        <ser>
          <idx val="0"/>
          <order val="0"/>
          <spPr>
            <a:solidFill xmlns:a="http://schemas.openxmlformats.org/drawingml/2006/main">
              <a:srgbClr val="77933c"/>
            </a:solidFill>
            <a:ln xmlns:a="http://schemas.openxmlformats.org/drawingml/2006/main" w="0">
              <a:noFill/>
              <a:prstDash val="solid"/>
            </a:ln>
          </spPr>
          <invertIfNegative val="0"/>
          <dLbls>
            <numFmt formatCode="0.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outEnd"/>
            <showLegendKey val="0"/>
            <showVal val="1"/>
            <showCatName val="0"/>
            <showSerName val="0"/>
            <showPercent val="0"/>
            <showLeaderLines val="0"/>
          </dLbls>
          <cat>
            <strRef>
              <f>Sheet1!$A$1:$E$1</f>
              <strCache>
                <ptCount val="5"/>
                <pt idx="0">
                  <v>UG</v>
                </pt>
                <pt idx="1">
                  <v>SS</v>
                </pt>
                <pt idx="2">
                  <v>PJ</v>
                </pt>
                <pt idx="3">
                  <v>NR</v>
                </pt>
                <pt idx="4">
                  <v>JK</v>
                </pt>
              </strCache>
            </strRef>
          </cat>
          <val>
            <numRef>
              <f>Sheet1!$A$17:$E$17</f>
              <numCache>
                <formatCode>0.0</formatCode>
                <ptCount val="5"/>
                <pt idx="0">
                  <v>9.42105263157895</v>
                </pt>
                <pt idx="1">
                  <v>9.140350877192979</v>
                </pt>
                <pt idx="2">
                  <v>8.800000000000001</v>
                </pt>
                <pt idx="3">
                  <v>9.373684210526321</v>
                </pt>
                <pt idx="4">
                  <v>8.694736842105261</v>
                </pt>
              </numCache>
            </numRef>
          </val>
        </ser>
        <gapWidth val="150"/>
        <overlap val="0"/>
        <axId val="14342543"/>
        <axId val="6205074"/>
      </barChart>
      <catAx>
        <axId val="14342543"/>
        <scaling>
          <orientation val="minMax"/>
        </scaling>
        <delete val="0"/>
        <axPos val="b"/>
        <numFmt formatCode="General" sourceLinked="0"/>
        <majorTickMark val="out"/>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6205074"/>
        <crosses val="autoZero"/>
        <auto val="1"/>
        <lblAlgn val="ctr"/>
        <lblOffset val="100"/>
        <noMultiLvlLbl val="0"/>
      </catAx>
      <valAx>
        <axId val="6205074"/>
        <scaling>
          <orientation val="minMax"/>
        </scaling>
        <delete val="1"/>
        <axPos val="l"/>
        <majorGridlines>
          <spPr>
            <a:ln xmlns:a="http://schemas.openxmlformats.org/drawingml/2006/main" w="9360">
              <a:solidFill>
                <a:srgbClr val="878787"/>
              </a:solidFill>
              <a:prstDash val="solid"/>
              <a:round/>
            </a:ln>
          </spPr>
        </majorGridlines>
        <numFmt formatCode="0.0" sourceLinked="1"/>
        <majorTickMark val="out"/>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14342543"/>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931062690562951"/>
          <y val="0.121311875152402"/>
          <w val="0.876254926749461"/>
          <h val="0.7894415996098511"/>
        </manualLayout>
      </layout>
      <barChart>
        <barDir val="col"/>
        <grouping val="clustered"/>
        <varyColors val="0"/>
        <ser>
          <idx val="0"/>
          <order val="0"/>
          <spPr>
            <a:solidFill xmlns:a="http://schemas.openxmlformats.org/drawingml/2006/main">
              <a:srgbClr val="aabad7"/>
            </a:solidFill>
            <a:ln xmlns:a="http://schemas.openxmlformats.org/drawingml/2006/main" w="0">
              <a:noFill/>
              <a:prstDash val="solid"/>
            </a:ln>
          </spPr>
          <invertIfNegative val="0"/>
          <dLbls>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p>
            </txPr>
            <dLblPos val="outEnd"/>
            <showLegendKey val="0"/>
            <showVal val="1"/>
            <showCatName val="0"/>
            <showSerName val="0"/>
            <showPercent val="0"/>
            <showLeaderLines val="0"/>
          </dLbls>
          <cat>
            <strRef>
              <f>'Sheet 2'!$B$4:$G$4</f>
              <strCache>
                <ptCount val="6"/>
                <pt idx="0">
                  <v>UG</v>
                </pt>
                <pt idx="1">
                  <v>SS</v>
                </pt>
                <pt idx="2">
                  <v>NS</v>
                </pt>
                <pt idx="3">
                  <v>PJ</v>
                </pt>
                <pt idx="4">
                  <v>FA</v>
                </pt>
                <pt idx="5">
                  <v>JK</v>
                </pt>
              </strCache>
            </strRef>
          </cat>
          <val>
            <numRef>
              <f>'Sheet 2'!$B$17:$G$17</f>
              <numCache>
                <formatCode>General</formatCode>
                <ptCount val="6"/>
                <pt idx="0">
                  <v>9.65</v>
                </pt>
                <pt idx="1">
                  <v>9.279999999999999</v>
                </pt>
                <pt idx="2">
                  <v>9.220000000000001</v>
                </pt>
                <pt idx="3">
                  <v>9.07</v>
                </pt>
                <pt idx="4">
                  <v>8.970000000000001</v>
                </pt>
                <pt idx="5">
                  <v>7.33</v>
                </pt>
              </numCache>
            </numRef>
          </val>
        </ser>
        <gapWidth val="150"/>
        <overlap val="0"/>
        <axId val="22541909"/>
        <axId val="9498554"/>
      </barChart>
      <catAx>
        <axId val="22541909"/>
        <scaling>
          <orientation val="minMax"/>
        </scaling>
        <delete val="0"/>
        <axPos val="b"/>
        <numFmt formatCode="General" sourceLinked="0"/>
        <majorTickMark val="out"/>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9498554"/>
        <crosses val="autoZero"/>
        <auto val="1"/>
        <lblAlgn val="ctr"/>
        <lblOffset val="100"/>
        <noMultiLvlLbl val="0"/>
      </catAx>
      <valAx>
        <axId val="9498554"/>
        <scaling>
          <orientation val="minMax"/>
          <max val="10"/>
        </scaling>
        <delete val="0"/>
        <axPos val="l"/>
        <majorGridlines>
          <spPr>
            <a:ln xmlns:a="http://schemas.openxmlformats.org/drawingml/2006/main" w="9360">
              <a:solidFill>
                <a:srgbClr val="878787"/>
              </a:solidFill>
              <a:prstDash val="solid"/>
              <a:round/>
            </a:ln>
          </spPr>
        </majorGridlines>
        <numFmt formatCode="General" sourceLinked="0"/>
        <majorTickMark val="out"/>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p>
        </txPr>
        <crossAx val="22541909"/>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_rels/drawing3.xml.rels><Relationships xmlns="http://schemas.openxmlformats.org/package/2006/relationships"><Relationship Type="http://schemas.openxmlformats.org/officeDocument/2006/relationships/image" Target="/xl/media/image2.jpeg" Id="rId1"/></Relationships>
</file>

<file path=xl/drawings/_rels/drawing4.xml.rels><Relationships xmlns="http://schemas.openxmlformats.org/package/2006/relationships"><Relationship Type="http://schemas.openxmlformats.org/officeDocument/2006/relationships/chart" Target="/xl/charts/chart2.xml" Id="rId1"/></Relationships>
</file>

<file path=xl/drawings/_rels/drawing5.xml.rels><Relationships xmlns="http://schemas.openxmlformats.org/package/2006/relationships"><Relationship Type="http://schemas.openxmlformats.org/officeDocument/2006/relationships/image" Target="/xl/media/image3.jpeg" Id="rId1"/><Relationship Type="http://schemas.openxmlformats.org/officeDocument/2006/relationships/image" Target="/xl/media/image4.jpeg" Id="rId2"/></Relationships>
</file>

<file path=xl/drawings/drawing1.xml><?xml version="1.0" encoding="utf-8"?>
<wsDr xmlns="http://schemas.openxmlformats.org/drawingml/2006/spreadsheetDrawing">
  <twoCellAnchor editAs="oneCell">
    <from>
      <col>2</col>
      <colOff>1985400</colOff>
      <row>0</row>
      <rowOff>111960</rowOff>
    </from>
    <to>
      <col>12</col>
      <colOff>738720</colOff>
      <row>0</row>
      <rowOff>1332720</rowOff>
    </to>
    <pic>
      <nvPicPr>
        <cNvPr id="0" name="Picture 1"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870160" y="111960"/>
          <a:ext cx="9707400" cy="1220760"/>
        </a:xfrm>
        <a:prstGeom xmlns:a="http://schemas.openxmlformats.org/drawingml/2006/main" prst="rect">
          <avLst/>
        </a:prstGeom>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7</col>
      <colOff>333360</colOff>
      <row>9</row>
      <rowOff>9360</rowOff>
    </from>
    <to>
      <col>15</col>
      <colOff>27720</colOff>
      <row>23</row>
      <rowOff>27720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2</col>
      <colOff>1985400</colOff>
      <row>0</row>
      <rowOff>111960</rowOff>
    </from>
    <to>
      <col>12</col>
      <colOff>172800</colOff>
      <row>0</row>
      <rowOff>1332720</rowOff>
    </to>
    <pic>
      <nvPicPr>
        <cNvPr id="2" name="Picture 1"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870160" y="111960"/>
          <a:ext cx="9141480" cy="1220760"/>
        </a:xfrm>
        <a:prstGeom xmlns:a="http://schemas.openxmlformats.org/drawingml/2006/main" prst="rect">
          <avLst/>
        </a:prstGeom>
        <a:ln xmlns:a="http://schemas.openxmlformats.org/drawingml/2006/main" w="0">
          <a:noFill/>
          <a:prstDash val="solid"/>
        </a:ln>
      </spPr>
    </pic>
    <clientData/>
  </twoCellAnchor>
</wsDr>
</file>

<file path=xl/drawings/drawing4.xml><?xml version="1.0" encoding="utf-8"?>
<wsDr xmlns="http://schemas.openxmlformats.org/drawingml/2006/spreadsheetDrawing">
  <twoCellAnchor editAs="oneCell">
    <from>
      <col>7</col>
      <colOff>314280</colOff>
      <row>2</row>
      <rowOff>38160</rowOff>
    </from>
    <to>
      <col>15</col>
      <colOff>8640</colOff>
      <row>17</row>
      <rowOff>132840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editAs="oneCell">
    <from>
      <col>3</col>
      <colOff>1436040</colOff>
      <row>1</row>
      <rowOff>0</rowOff>
    </from>
    <to>
      <col>3</col>
      <colOff>1436760</colOff>
      <row>1</row>
      <rowOff>193680</rowOff>
    </to>
    <pic>
      <nvPicPr>
        <cNvPr id="4" name="Picture 5"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080200" y="324000"/>
          <a:ext cx="720" cy="193680"/>
        </a:xfrm>
        <a:prstGeom xmlns:a="http://schemas.openxmlformats.org/drawingml/2006/main" prst="rect">
          <avLst/>
        </a:prstGeom>
        <a:ln xmlns:a="http://schemas.openxmlformats.org/drawingml/2006/main" w="0">
          <a:noFill/>
          <a:prstDash val="solid"/>
        </a:ln>
      </spPr>
    </pic>
    <clientData/>
  </twoCellAnchor>
  <twoCellAnchor editAs="oneCell">
    <from>
      <col>3</col>
      <colOff>2048760</colOff>
      <row>0</row>
      <rowOff>171360</rowOff>
    </from>
    <to>
      <col>3</col>
      <colOff>2050560</colOff>
      <row>1</row>
      <rowOff>58320</rowOff>
    </to>
    <pic>
      <nvPicPr>
        <cNvPr id="5" name="Picture 6" descr=""/>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8692920" y="171360"/>
          <a:ext cx="1800" cy="210960"/>
        </a:xfrm>
        <a:prstGeom xmlns:a="http://schemas.openxmlformats.org/drawingml/2006/main" prst="rect">
          <avLst/>
        </a:prstGeom>
        <a:ln xmlns:a="http://schemas.openxmlformats.org/drawingml/2006/main" w="0">
          <a:noFill/>
          <a:prstDash val="solid"/>
        </a:ln>
      </spPr>
    </pic>
    <clientData/>
  </twoCellAnchor>
</wsDr>
</file>

<file path=xl/tables/table1.xml><?xml version="1.0" encoding="utf-8"?>
<table xmlns="http://schemas.openxmlformats.org/spreadsheetml/2006/main" id="1" name="Table1" displayName="Table1" ref="A1:E17" headerRowCount="1" totalsRowCount="0" totalsRowShown="0">
  <tableColumns count="5">
    <tableColumn id="1" name="UG"/>
    <tableColumn id="2" name="SS"/>
    <tableColumn id="3" name="PJ"/>
    <tableColumn id="4" name="NR"/>
    <tableColumn id="5" name="JK"/>
  </tableColumns>
</table>
</file>

<file path=xl/tables/table2.xml><?xml version="1.0" encoding="utf-8"?>
<table xmlns="http://schemas.openxmlformats.org/spreadsheetml/2006/main" id="2" name="Table3" displayName="Table3" ref="B4:G17" headerRowCount="1" totalsRowCount="0" totalsRowShown="0">
  <tableColumns count="6">
    <tableColumn id="1" name="UG"/>
    <tableColumn id="2" name="SS"/>
    <tableColumn id="3" name="NS"/>
    <tableColumn id="4" name="PJ"/>
    <tableColumn id="5" name="FA"/>
    <tableColumn id="6" name="J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 Type="http://schemas.openxmlformats.org/officeDocument/2006/relationships/table" Target="/xl/tables/table2.xml" Id="rId2"/></Relationships>
</file>

<file path=xl/worksheets/_rels/sheet9.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filterMode="0">
    <outlinePr summaryBelow="1" summaryRight="1"/>
    <pageSetUpPr fitToPage="0"/>
  </sheetPr>
  <dimension ref="A1:Y67"/>
  <sheetViews>
    <sheetView showFormulas="0" showGridLines="1" showRowColHeaders="1" showZeros="1" rightToLeft="0" tabSelected="0" showOutlineSymbols="1" defaultGridColor="1" view="normal" topLeftCell="A4" colorId="64" zoomScale="85" zoomScaleNormal="85" zoomScalePageLayoutView="100" workbookViewId="0">
      <pane xSplit="3" ySplit="2" topLeftCell="D45" activePane="bottomRight" state="frozen"/>
      <selection pane="topLeft" activeCell="A4" activeCellId="0" sqref="A4"/>
      <selection pane="topRight" activeCell="D4" activeCellId="0" sqref="D4"/>
      <selection pane="bottomLeft" activeCell="A45" activeCellId="0" sqref="A45"/>
      <selection pane="bottomRight" activeCell="E59" activeCellId="0" sqref="E59"/>
    </sheetView>
  </sheetViews>
  <sheetFormatPr baseColWidth="8" defaultColWidth="8.6796875" defaultRowHeight="15" zeroHeight="0" outlineLevelRow="0"/>
  <cols>
    <col width="16.12" customWidth="1" style="107" min="1" max="1"/>
    <col width="39" customWidth="1" style="107" min="2" max="2"/>
    <col width="53" customWidth="1" style="107" min="3" max="3"/>
    <col width="11.38" customWidth="1" style="107" min="4" max="22"/>
    <col width="7.88" customWidth="1" style="107" min="23" max="23"/>
    <col width="18.25" customWidth="1" style="107" min="24" max="24"/>
  </cols>
  <sheetData>
    <row r="1" ht="106.5" customHeight="1" s="108">
      <c r="B1" s="109" t="n"/>
      <c r="C1" s="109" t="n"/>
      <c r="D1" s="110" t="n"/>
      <c r="E1" s="110" t="n"/>
      <c r="F1" s="110" t="n"/>
      <c r="G1" s="110" t="n"/>
      <c r="H1" s="110" t="n"/>
      <c r="I1" s="110" t="n"/>
      <c r="J1" s="110" t="n"/>
      <c r="K1" s="110" t="n"/>
      <c r="L1" s="110" t="n"/>
      <c r="M1" s="110" t="n"/>
      <c r="N1" s="110" t="n"/>
      <c r="O1" s="110" t="n"/>
      <c r="P1" s="110" t="n"/>
      <c r="Q1" s="110" t="n"/>
      <c r="R1" s="110" t="n"/>
      <c r="S1" s="110" t="n"/>
      <c r="T1" s="110" t="n"/>
      <c r="U1" s="110" t="n"/>
      <c r="V1" s="110" t="n"/>
      <c r="W1" s="111" t="n"/>
      <c r="X1" s="112" t="n"/>
    </row>
    <row r="2" ht="26.25" customHeight="1" s="108">
      <c r="A2" s="113" t="n"/>
      <c r="B2" s="113" t="inlineStr">
        <is>
          <t xml:space="preserve">Program </t>
        </is>
      </c>
      <c r="C2" s="114" t="inlineStr">
        <is>
          <t>Certified Reliability Engineer - 30  (Date: 06th to 11th July-2026 ) Module - 1</t>
        </is>
      </c>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6" t="n"/>
    </row>
    <row r="3" ht="18" customHeight="1" s="108">
      <c r="A3" s="117" t="n"/>
      <c r="B3" s="117" t="inlineStr">
        <is>
          <t>Feedback Form</t>
        </is>
      </c>
      <c r="C3" s="118" t="inlineStr">
        <is>
          <t xml:space="preserve">Please rank the parameters on 10 to 1 scale </t>
        </is>
      </c>
      <c r="D3" s="119" t="inlineStr">
        <is>
          <t>8 to 10 - Excellent ; 6 to 7 - V Good ; 4 to 5 - Good ; 2 to 3- Satisfactory ; 1 - Unsatisfactory</t>
        </is>
      </c>
      <c r="E3" s="115" t="n"/>
      <c r="F3" s="115" t="n"/>
      <c r="G3" s="115" t="n"/>
      <c r="H3" s="115" t="n"/>
      <c r="I3" s="115" t="n"/>
      <c r="J3" s="115" t="n"/>
      <c r="K3" s="115" t="n"/>
      <c r="L3" s="115" t="n"/>
      <c r="M3" s="115" t="n"/>
      <c r="N3" s="115" t="n"/>
      <c r="O3" s="115" t="n"/>
      <c r="P3" s="115" t="n"/>
      <c r="Q3" s="115" t="n"/>
      <c r="R3" s="115" t="n"/>
      <c r="S3" s="115" t="n"/>
      <c r="T3" s="115" t="n"/>
      <c r="U3" s="115" t="n"/>
      <c r="V3" s="115" t="n"/>
      <c r="W3" s="115" t="n"/>
      <c r="X3" s="116" t="n"/>
    </row>
    <row r="4" ht="18" customHeight="1" s="108">
      <c r="A4" s="120" t="inlineStr">
        <is>
          <t>Date</t>
        </is>
      </c>
      <c r="B4" s="120" t="inlineStr">
        <is>
          <t>KA / Subject
(Name of Faculty)</t>
        </is>
      </c>
      <c r="C4" s="121" t="inlineStr">
        <is>
          <t>Criteria</t>
        </is>
      </c>
      <c r="D4" s="122" t="inlineStr">
        <is>
          <t>STAFF NO</t>
        </is>
      </c>
      <c r="E4" s="115" t="n"/>
      <c r="F4" s="115" t="n"/>
      <c r="G4" s="115" t="n"/>
      <c r="H4" s="115" t="n"/>
      <c r="I4" s="115" t="n"/>
      <c r="J4" s="115" t="n"/>
      <c r="K4" s="115" t="n"/>
      <c r="L4" s="115" t="n"/>
      <c r="M4" s="115" t="n"/>
      <c r="N4" s="115" t="n"/>
      <c r="O4" s="115" t="n"/>
      <c r="P4" s="115" t="n"/>
      <c r="Q4" s="115" t="n"/>
      <c r="R4" s="115" t="n"/>
      <c r="S4" s="115" t="n"/>
      <c r="T4" s="115" t="n"/>
      <c r="U4" s="115" t="n"/>
      <c r="V4" s="116" t="n"/>
      <c r="W4" s="123" t="inlineStr">
        <is>
          <t>Avg</t>
        </is>
      </c>
      <c r="X4" s="121" t="inlineStr">
        <is>
          <t>Remarks</t>
        </is>
      </c>
    </row>
    <row r="5" ht="36" customHeight="1" s="108">
      <c r="A5" s="124" t="n"/>
      <c r="B5" s="124" t="n"/>
      <c r="C5" s="124" t="n"/>
      <c r="D5" s="125" t="n">
        <v>218399</v>
      </c>
      <c r="E5" s="125" t="n">
        <v>216377</v>
      </c>
      <c r="F5" s="125" t="inlineStr">
        <is>
          <t>502099-K</t>
        </is>
      </c>
      <c r="G5" s="125" t="n">
        <v>217755</v>
      </c>
      <c r="H5" s="125" t="n">
        <v>216676</v>
      </c>
      <c r="I5" s="125" t="inlineStr">
        <is>
          <t>506104N</t>
        </is>
      </c>
      <c r="J5" s="125" t="n">
        <v>216322</v>
      </c>
      <c r="K5" s="125" t="n">
        <v>216168</v>
      </c>
      <c r="L5" s="125" t="n">
        <v>214004</v>
      </c>
      <c r="M5" s="125" t="n">
        <v>218036</v>
      </c>
      <c r="N5" s="125" t="n">
        <v>217847</v>
      </c>
      <c r="O5" s="125" t="n">
        <v>218033</v>
      </c>
      <c r="P5" s="125" t="n">
        <v>216448</v>
      </c>
      <c r="Q5" s="125" t="n">
        <v>216442</v>
      </c>
      <c r="R5" s="125" t="n">
        <v>217689</v>
      </c>
      <c r="S5" s="125" t="n">
        <v>216449</v>
      </c>
      <c r="T5" s="125" t="n">
        <v>216452</v>
      </c>
      <c r="U5" s="125" t="n">
        <v>217770</v>
      </c>
      <c r="V5" s="125" t="n">
        <v>218114</v>
      </c>
      <c r="W5" s="124" t="n"/>
      <c r="X5" s="124" t="n"/>
    </row>
    <row r="6" ht="19.5" customHeight="1" s="108">
      <c r="A6" s="126" t="inlineStr">
        <is>
          <t>DAY 1
(06-07-2026)</t>
        </is>
      </c>
      <c r="B6" s="127" t="inlineStr">
        <is>
          <t>Reliability Fundamentals (Leadership Foundations)
(Mr Umesh Ghimirey, 
Sr.DGM (QM/BAE))</t>
        </is>
      </c>
      <c r="C6" s="128" t="inlineStr">
        <is>
          <t>Course Contenet</t>
        </is>
      </c>
      <c r="D6" s="129" t="n">
        <v>10</v>
      </c>
      <c r="E6" s="129" t="n">
        <v>9</v>
      </c>
      <c r="F6" s="129" t="n">
        <v>10</v>
      </c>
      <c r="G6" s="129" t="n">
        <v>10</v>
      </c>
      <c r="H6" s="129" t="n">
        <v>10</v>
      </c>
      <c r="I6" s="129" t="n">
        <v>10</v>
      </c>
      <c r="J6" s="129" t="n">
        <v>10</v>
      </c>
      <c r="K6" s="129" t="n">
        <v>8</v>
      </c>
      <c r="L6" s="129" t="n">
        <v>9</v>
      </c>
      <c r="M6" s="129" t="n">
        <v>9</v>
      </c>
      <c r="N6" s="129" t="n">
        <v>8</v>
      </c>
      <c r="O6" s="129" t="n">
        <v>10</v>
      </c>
      <c r="P6" s="129" t="n">
        <v>10</v>
      </c>
      <c r="Q6" s="129" t="n">
        <v>9</v>
      </c>
      <c r="R6" s="129" t="n">
        <v>9</v>
      </c>
      <c r="S6" s="129" t="n">
        <v>10</v>
      </c>
      <c r="T6" s="129" t="n">
        <v>9</v>
      </c>
      <c r="U6" s="129" t="n">
        <v>9</v>
      </c>
      <c r="V6" s="129" t="n">
        <v>9</v>
      </c>
      <c r="W6" s="130">
        <f>AVERAGE(D6:V6)</f>
        <v/>
      </c>
      <c r="X6" s="118">
        <f>IF(W6&gt;=8,"Excellent",IF(W6&gt;=6,"Very good",IF(W6&gt;=4,"Good",IF(W6&gt;=2,"Satisfactory",IF(W6&gt;=1,"Unsatisfactory")))))</f>
        <v/>
      </c>
    </row>
    <row r="7" ht="19.5" customHeight="1" s="108">
      <c r="A7" s="131" t="n"/>
      <c r="B7" s="131" t="n"/>
      <c r="C7" s="128" t="inlineStr">
        <is>
          <t>Structure &amp; Flow</t>
        </is>
      </c>
      <c r="D7" s="129" t="n">
        <v>8</v>
      </c>
      <c r="E7" s="129" t="n">
        <v>9</v>
      </c>
      <c r="F7" s="129" t="n">
        <v>10</v>
      </c>
      <c r="G7" s="129" t="n">
        <v>10</v>
      </c>
      <c r="H7" s="129" t="n">
        <v>10</v>
      </c>
      <c r="I7" s="129" t="n">
        <v>10</v>
      </c>
      <c r="J7" s="129" t="n">
        <v>10</v>
      </c>
      <c r="K7" s="129" t="n">
        <v>7</v>
      </c>
      <c r="L7" s="129" t="n">
        <v>8</v>
      </c>
      <c r="M7" s="129" t="n">
        <v>10</v>
      </c>
      <c r="N7" s="129" t="n">
        <v>10</v>
      </c>
      <c r="O7" s="129" t="n">
        <v>10</v>
      </c>
      <c r="P7" s="129" t="n">
        <v>10</v>
      </c>
      <c r="Q7" s="129" t="n">
        <v>10</v>
      </c>
      <c r="R7" s="129" t="n">
        <v>10</v>
      </c>
      <c r="S7" s="129" t="n">
        <v>10</v>
      </c>
      <c r="T7" s="129" t="n">
        <v>9</v>
      </c>
      <c r="U7" s="129" t="n">
        <v>9</v>
      </c>
      <c r="V7" s="129" t="n">
        <v>9</v>
      </c>
      <c r="W7" s="130">
        <f>AVERAGE(D7:V7)</f>
        <v/>
      </c>
      <c r="X7" s="118">
        <f>IF(W7&gt;=8,"Excellent",IF(W7&gt;=6,"Very good",IF(W7&gt;=4,"Good",IF(W7&gt;=2,"Satisfactory",IF(W7&gt;=1,"Unsatisfactory")))))</f>
        <v/>
      </c>
    </row>
    <row r="8" ht="19.5" customHeight="1" s="108">
      <c r="A8" s="131" t="n"/>
      <c r="B8" s="131" t="n"/>
      <c r="C8" s="128" t="inlineStr">
        <is>
          <t>Time Management</t>
        </is>
      </c>
      <c r="D8" s="129" t="n">
        <v>8</v>
      </c>
      <c r="E8" s="129" t="n">
        <v>10</v>
      </c>
      <c r="F8" s="129" t="n">
        <v>10</v>
      </c>
      <c r="G8" s="129" t="n">
        <v>10</v>
      </c>
      <c r="H8" s="129" t="n">
        <v>10</v>
      </c>
      <c r="I8" s="129" t="n">
        <v>10</v>
      </c>
      <c r="J8" s="129" t="n">
        <v>10</v>
      </c>
      <c r="K8" s="129" t="n">
        <v>10</v>
      </c>
      <c r="L8" s="129" t="n">
        <v>10</v>
      </c>
      <c r="M8" s="129" t="n">
        <v>10</v>
      </c>
      <c r="N8" s="129" t="n">
        <v>9</v>
      </c>
      <c r="O8" s="129" t="n">
        <v>10</v>
      </c>
      <c r="P8" s="129" t="n">
        <v>10</v>
      </c>
      <c r="Q8" s="129" t="n">
        <v>10</v>
      </c>
      <c r="R8" s="129" t="n">
        <v>10</v>
      </c>
      <c r="S8" s="129" t="n">
        <v>10</v>
      </c>
      <c r="T8" s="129" t="n">
        <v>9</v>
      </c>
      <c r="U8" s="129" t="n">
        <v>8</v>
      </c>
      <c r="V8" s="129" t="n">
        <v>9</v>
      </c>
      <c r="W8" s="130">
        <f>AVERAGE(D8:V8)</f>
        <v/>
      </c>
      <c r="X8" s="118">
        <f>IF(W8&gt;=8,"Excellent",IF(W8&gt;=6,"Very good",IF(W8&gt;=4,"Good",IF(W8&gt;=2,"Satisfactory",IF(W8&gt;=1,"Unsatisfactory")))))</f>
        <v/>
      </c>
    </row>
    <row r="9" ht="19.5" customHeight="1" s="108">
      <c r="A9" s="131" t="n"/>
      <c r="B9" s="131" t="n"/>
      <c r="C9" s="125" t="inlineStr">
        <is>
          <t>Faculty Delivery</t>
        </is>
      </c>
      <c r="D9" s="125" t="n">
        <v>8</v>
      </c>
      <c r="E9" s="125" t="n">
        <v>8</v>
      </c>
      <c r="F9" s="125" t="n">
        <v>10</v>
      </c>
      <c r="G9" s="129" t="n">
        <v>10</v>
      </c>
      <c r="H9" s="125" t="n">
        <v>10</v>
      </c>
      <c r="I9" s="129" t="n">
        <v>10</v>
      </c>
      <c r="J9" s="129" t="n">
        <v>10</v>
      </c>
      <c r="K9" s="125" t="n">
        <v>8</v>
      </c>
      <c r="L9" s="125" t="n">
        <v>8</v>
      </c>
      <c r="M9" s="125" t="n">
        <v>10</v>
      </c>
      <c r="N9" s="129" t="n">
        <v>10</v>
      </c>
      <c r="O9" s="129" t="n">
        <v>10</v>
      </c>
      <c r="P9" s="129" t="n">
        <v>10</v>
      </c>
      <c r="Q9" s="129" t="n">
        <v>10</v>
      </c>
      <c r="R9" s="129" t="n">
        <v>10</v>
      </c>
      <c r="S9" s="129" t="n">
        <v>10</v>
      </c>
      <c r="T9" s="129" t="n">
        <v>9</v>
      </c>
      <c r="U9" s="129" t="n">
        <v>9</v>
      </c>
      <c r="V9" s="129" t="n">
        <v>9</v>
      </c>
      <c r="W9" s="130">
        <f>AVERAGE(D9:V9)</f>
        <v/>
      </c>
      <c r="X9" s="118">
        <f>IF(W9&gt;=8,"Excellent",IF(W9&gt;=6,"Very good",IF(W9&gt;=4,"Good",IF(W9&gt;=2,"Satisfactory",IF(W9&gt;=1,"Unsatisfactory")))))</f>
        <v/>
      </c>
    </row>
    <row r="10" ht="19.5" customHeight="1" s="108">
      <c r="A10" s="131" t="n"/>
      <c r="B10" s="124" t="n"/>
      <c r="C10" s="125" t="inlineStr">
        <is>
          <t>Faculty Participants Interaction</t>
        </is>
      </c>
      <c r="D10" s="132" t="n">
        <v>9</v>
      </c>
      <c r="E10" s="132" t="n">
        <v>10</v>
      </c>
      <c r="F10" s="132" t="n">
        <v>10</v>
      </c>
      <c r="G10" s="129" t="n">
        <v>10</v>
      </c>
      <c r="H10" s="132" t="n">
        <v>9</v>
      </c>
      <c r="I10" s="129" t="n">
        <v>10</v>
      </c>
      <c r="J10" s="129" t="n">
        <v>10</v>
      </c>
      <c r="K10" s="132" t="n">
        <v>8</v>
      </c>
      <c r="L10" s="132" t="n">
        <v>8</v>
      </c>
      <c r="M10" s="132" t="n">
        <v>10</v>
      </c>
      <c r="N10" s="129" t="n">
        <v>10</v>
      </c>
      <c r="O10" s="129" t="n">
        <v>10</v>
      </c>
      <c r="P10" s="129" t="n">
        <v>10</v>
      </c>
      <c r="Q10" s="129" t="n">
        <v>9</v>
      </c>
      <c r="R10" s="129" t="n">
        <v>10</v>
      </c>
      <c r="S10" s="129" t="n">
        <v>10</v>
      </c>
      <c r="T10" s="129" t="n">
        <v>9</v>
      </c>
      <c r="U10" s="129" t="n">
        <v>9</v>
      </c>
      <c r="V10" s="129" t="n">
        <v>9</v>
      </c>
      <c r="W10" s="130">
        <f>AVERAGE(D10:V10)</f>
        <v/>
      </c>
      <c r="X10" s="118">
        <f>IF(W10&gt;=8,"Excellent",IF(W10&gt;=6,"Very good",IF(W10&gt;=4,"Good",IF(W10&gt;=2,"Satisfactory",IF(W10&gt;=1,"Unsatisfactory")))))</f>
        <v/>
      </c>
    </row>
    <row r="11" ht="19.5" customHeight="1" s="108">
      <c r="A11" s="131" t="n"/>
      <c r="B11" s="127" t="inlineStr">
        <is>
          <t>Risk Management
(Mr Jagadeesh Kumar R )</t>
        </is>
      </c>
      <c r="C11" s="128" t="inlineStr">
        <is>
          <t>Course Contenet</t>
        </is>
      </c>
      <c r="D11" s="129" t="n">
        <v>10</v>
      </c>
      <c r="E11" s="129" t="n">
        <v>9</v>
      </c>
      <c r="F11" s="129" t="n">
        <v>9</v>
      </c>
      <c r="G11" s="129" t="n">
        <v>10</v>
      </c>
      <c r="H11" s="129" t="n">
        <v>8</v>
      </c>
      <c r="I11" s="129" t="n">
        <v>10</v>
      </c>
      <c r="J11" s="129" t="n">
        <v>10</v>
      </c>
      <c r="K11" s="129" t="n">
        <v>8</v>
      </c>
      <c r="L11" s="129" t="n">
        <v>6</v>
      </c>
      <c r="M11" s="129" t="n">
        <v>9</v>
      </c>
      <c r="N11" s="129" t="n">
        <v>9</v>
      </c>
      <c r="O11" s="129" t="n">
        <v>10</v>
      </c>
      <c r="P11" s="129" t="n">
        <v>8</v>
      </c>
      <c r="Q11" s="129" t="n">
        <v>9</v>
      </c>
      <c r="R11" s="129" t="n">
        <v>9</v>
      </c>
      <c r="S11" s="129" t="n">
        <v>10</v>
      </c>
      <c r="T11" s="129" t="n">
        <v>7</v>
      </c>
      <c r="U11" s="129" t="n">
        <v>9</v>
      </c>
      <c r="V11" s="129" t="n">
        <v>9</v>
      </c>
      <c r="W11" s="130">
        <f>AVERAGE(D11:V11)</f>
        <v/>
      </c>
      <c r="X11" s="118">
        <f>IF(W11&gt;=8,"Excellent",IF(W11&gt;=6,"Very good",IF(W11&gt;=4,"Good",IF(W11&gt;=2,"Satisfactory",IF(W11&gt;=1,"Unsatisfactory")))))</f>
        <v/>
      </c>
    </row>
    <row r="12" ht="19.5" customHeight="1" s="108">
      <c r="A12" s="131" t="n"/>
      <c r="B12" s="131" t="n"/>
      <c r="C12" s="128" t="inlineStr">
        <is>
          <t>Structure &amp; Flow</t>
        </is>
      </c>
      <c r="D12" s="129" t="n">
        <v>8</v>
      </c>
      <c r="E12" s="129" t="n">
        <v>3</v>
      </c>
      <c r="F12" s="129" t="n">
        <v>9</v>
      </c>
      <c r="G12" s="129" t="n">
        <v>10</v>
      </c>
      <c r="H12" s="129" t="n">
        <v>8</v>
      </c>
      <c r="I12" s="129" t="n">
        <v>10</v>
      </c>
      <c r="J12" s="129" t="n">
        <v>10</v>
      </c>
      <c r="K12" s="129" t="n">
        <v>7</v>
      </c>
      <c r="L12" s="129" t="n">
        <v>8</v>
      </c>
      <c r="M12" s="129" t="n">
        <v>9</v>
      </c>
      <c r="N12" s="129" t="n">
        <v>8</v>
      </c>
      <c r="O12" s="129" t="n">
        <v>10</v>
      </c>
      <c r="P12" s="129" t="n">
        <v>8</v>
      </c>
      <c r="Q12" s="129" t="n">
        <v>9</v>
      </c>
      <c r="R12" s="129" t="n">
        <v>10</v>
      </c>
      <c r="S12" s="129" t="n">
        <v>10</v>
      </c>
      <c r="T12" s="129" t="n">
        <v>6</v>
      </c>
      <c r="U12" s="129" t="n">
        <v>9</v>
      </c>
      <c r="V12" s="129" t="n">
        <v>9</v>
      </c>
      <c r="W12" s="130">
        <f>AVERAGE(D12:V12)</f>
        <v/>
      </c>
      <c r="X12" s="118">
        <f>IF(W12&gt;=8,"Excellent",IF(W12&gt;=6,"Very good",IF(W12&gt;=4,"Good",IF(W12&gt;=2,"Satisfactory",IF(W12&gt;=1,"Unsatisfactory")))))</f>
        <v/>
      </c>
    </row>
    <row r="13" ht="19.5" customHeight="1" s="108">
      <c r="A13" s="131" t="n"/>
      <c r="B13" s="131" t="n"/>
      <c r="C13" s="128" t="inlineStr">
        <is>
          <t>Time Management</t>
        </is>
      </c>
      <c r="D13" s="129" t="n">
        <v>7</v>
      </c>
      <c r="E13" s="129" t="n">
        <v>3</v>
      </c>
      <c r="F13" s="129" t="n">
        <v>9</v>
      </c>
      <c r="G13" s="129" t="n">
        <v>10</v>
      </c>
      <c r="H13" s="129" t="n">
        <v>8</v>
      </c>
      <c r="I13" s="129" t="n">
        <v>10</v>
      </c>
      <c r="J13" s="129" t="n">
        <v>10</v>
      </c>
      <c r="K13" s="129" t="n">
        <v>10</v>
      </c>
      <c r="L13" s="129" t="n">
        <v>10</v>
      </c>
      <c r="M13" s="129" t="n">
        <v>9</v>
      </c>
      <c r="N13" s="129" t="n">
        <v>9</v>
      </c>
      <c r="O13" s="129" t="n">
        <v>7</v>
      </c>
      <c r="P13" s="129" t="n">
        <v>9</v>
      </c>
      <c r="Q13" s="129" t="n">
        <v>9</v>
      </c>
      <c r="R13" s="129" t="n">
        <v>10</v>
      </c>
      <c r="S13" s="129" t="n">
        <v>10</v>
      </c>
      <c r="T13" s="129" t="n">
        <v>8</v>
      </c>
      <c r="U13" s="129" t="n">
        <v>8</v>
      </c>
      <c r="V13" s="129" t="n">
        <v>9</v>
      </c>
      <c r="W13" s="130">
        <f>AVERAGE(D13:V13)</f>
        <v/>
      </c>
      <c r="X13" s="118">
        <f>IF(W13&gt;=8,"Excellent",IF(W13&gt;=6,"Very good",IF(W13&gt;=4,"Good",IF(W13&gt;=2,"Satisfactory",IF(W13&gt;=1,"Unsatisfactory")))))</f>
        <v/>
      </c>
    </row>
    <row r="14" ht="19.5" customHeight="1" s="108">
      <c r="A14" s="131" t="n"/>
      <c r="B14" s="131" t="n"/>
      <c r="C14" s="125" t="inlineStr">
        <is>
          <t>Faculty Delivery</t>
        </is>
      </c>
      <c r="D14" s="125" t="n">
        <v>7</v>
      </c>
      <c r="E14" s="125" t="n">
        <v>7</v>
      </c>
      <c r="F14" s="125" t="n">
        <v>9</v>
      </c>
      <c r="G14" s="129" t="n">
        <v>10</v>
      </c>
      <c r="H14" s="125" t="n">
        <v>8</v>
      </c>
      <c r="I14" s="129" t="n">
        <v>10</v>
      </c>
      <c r="J14" s="129" t="n">
        <v>10</v>
      </c>
      <c r="K14" s="125" t="n">
        <v>8</v>
      </c>
      <c r="L14" s="125" t="n">
        <v>7</v>
      </c>
      <c r="M14" s="125" t="n">
        <v>10</v>
      </c>
      <c r="N14" s="129" t="n">
        <v>10</v>
      </c>
      <c r="O14" s="129" t="n">
        <v>10</v>
      </c>
      <c r="P14" s="129" t="n">
        <v>9</v>
      </c>
      <c r="Q14" s="129" t="n">
        <v>10</v>
      </c>
      <c r="R14" s="129" t="n">
        <v>9</v>
      </c>
      <c r="S14" s="129" t="n">
        <v>10</v>
      </c>
      <c r="T14" s="129" t="n">
        <v>6</v>
      </c>
      <c r="U14" s="129" t="n">
        <v>9</v>
      </c>
      <c r="V14" s="129" t="n">
        <v>9</v>
      </c>
      <c r="W14" s="130">
        <f>AVERAGE(D14:V14)</f>
        <v/>
      </c>
      <c r="X14" s="118">
        <f>IF(W14&gt;=8,"Excellent",IF(W14&gt;=6,"Very good",IF(W14&gt;=4,"Good",IF(W14&gt;=2,"Satisfactory",IF(W14&gt;=1,"Unsatisfactory")))))</f>
        <v/>
      </c>
    </row>
    <row r="15" ht="19.5" customHeight="1" s="108">
      <c r="A15" s="124" t="n"/>
      <c r="B15" s="124" t="n"/>
      <c r="C15" s="125" t="inlineStr">
        <is>
          <t>Faculty Participants Interaction</t>
        </is>
      </c>
      <c r="D15" s="132" t="n">
        <v>8</v>
      </c>
      <c r="E15" s="132" t="n">
        <v>3</v>
      </c>
      <c r="F15" s="132" t="n">
        <v>9</v>
      </c>
      <c r="G15" s="129" t="n">
        <v>10</v>
      </c>
      <c r="H15" s="132" t="n">
        <v>8</v>
      </c>
      <c r="I15" s="129" t="n">
        <v>10</v>
      </c>
      <c r="J15" s="129" t="n">
        <v>10</v>
      </c>
      <c r="K15" s="132" t="n">
        <v>8</v>
      </c>
      <c r="L15" s="132" t="n">
        <v>7</v>
      </c>
      <c r="M15" s="132" t="n">
        <v>10</v>
      </c>
      <c r="N15" s="129" t="n">
        <v>9</v>
      </c>
      <c r="O15" s="129" t="n">
        <v>10</v>
      </c>
      <c r="P15" s="129" t="n">
        <v>8</v>
      </c>
      <c r="Q15" s="129" t="n">
        <v>9</v>
      </c>
      <c r="R15" s="129" t="n">
        <v>10</v>
      </c>
      <c r="S15" s="129" t="n">
        <v>10</v>
      </c>
      <c r="T15" s="129" t="n">
        <v>6</v>
      </c>
      <c r="U15" s="129" t="n">
        <v>9</v>
      </c>
      <c r="V15" s="129" t="n">
        <v>9</v>
      </c>
      <c r="W15" s="130">
        <f>AVERAGE(D15:V15)</f>
        <v/>
      </c>
      <c r="X15" s="118">
        <f>IF(W15&gt;=8,"Excellent",IF(W15&gt;=6,"Very good",IF(W15&gt;=4,"Good",IF(W15&gt;=2,"Satisfactory",IF(W15&gt;=1,"Unsatisfactory")))))</f>
        <v/>
      </c>
    </row>
    <row r="16" ht="19.5" customHeight="1" s="108">
      <c r="A16" s="126" t="inlineStr">
        <is>
          <t>DAY 2
(07-07-2026)</t>
        </is>
      </c>
      <c r="B16" s="127" t="inlineStr">
        <is>
          <t>Reliability Fundamentals (Reliability Foundations)
(Mr Umesh Ghimirey, 
Sr.DGM (QM/BAE))</t>
        </is>
      </c>
      <c r="C16" s="128" t="inlineStr">
        <is>
          <t>Course Contenet</t>
        </is>
      </c>
      <c r="D16" s="129" t="n">
        <v>10</v>
      </c>
      <c r="E16" s="129" t="n">
        <v>9</v>
      </c>
      <c r="F16" s="129" t="n">
        <v>10</v>
      </c>
      <c r="G16" s="129" t="n">
        <v>10</v>
      </c>
      <c r="H16" s="129" t="n">
        <v>9</v>
      </c>
      <c r="I16" s="129" t="n">
        <v>10</v>
      </c>
      <c r="J16" s="129" t="n">
        <v>10</v>
      </c>
      <c r="K16" s="129" t="n">
        <v>7</v>
      </c>
      <c r="L16" s="129" t="n">
        <v>6</v>
      </c>
      <c r="M16" s="129" t="n">
        <v>10</v>
      </c>
      <c r="N16" s="129" t="n">
        <v>10</v>
      </c>
      <c r="O16" s="129" t="n">
        <v>10</v>
      </c>
      <c r="P16" s="129" t="n">
        <v>10</v>
      </c>
      <c r="Q16" s="129" t="n">
        <v>9</v>
      </c>
      <c r="R16" s="129" t="n">
        <v>9</v>
      </c>
      <c r="S16" s="129" t="n">
        <v>10</v>
      </c>
      <c r="T16" s="129" t="n">
        <v>9</v>
      </c>
      <c r="U16" s="129" t="n">
        <v>9</v>
      </c>
      <c r="V16" s="129" t="n">
        <v>9</v>
      </c>
      <c r="W16" s="130">
        <f>AVERAGE(D16:V16)</f>
        <v/>
      </c>
      <c r="X16" s="118">
        <f>IF(W16&gt;=8,"Excellent",IF(W16&gt;=6,"Very good",IF(W16&gt;=4,"Good",IF(W16&gt;=2,"Satisfactory",IF(W16&gt;=1,"Unsatisfactory")))))</f>
        <v/>
      </c>
    </row>
    <row r="17" ht="19.5" customHeight="1" s="108">
      <c r="A17" s="131" t="n"/>
      <c r="B17" s="131" t="n"/>
      <c r="C17" s="128" t="inlineStr">
        <is>
          <t>Structure &amp; Flow</t>
        </is>
      </c>
      <c r="D17" s="129" t="n">
        <v>8</v>
      </c>
      <c r="E17" s="129" t="n">
        <v>9</v>
      </c>
      <c r="F17" s="129" t="n">
        <v>10</v>
      </c>
      <c r="G17" s="129" t="n">
        <v>10</v>
      </c>
      <c r="H17" s="129" t="n">
        <v>9</v>
      </c>
      <c r="I17" s="129" t="n">
        <v>10</v>
      </c>
      <c r="J17" s="129" t="n">
        <v>10</v>
      </c>
      <c r="K17" s="129" t="n">
        <v>8</v>
      </c>
      <c r="L17" s="129" t="n">
        <v>7</v>
      </c>
      <c r="M17" s="129" t="n">
        <v>9</v>
      </c>
      <c r="N17" s="129" t="n">
        <v>10</v>
      </c>
      <c r="O17" s="129" t="n">
        <v>10</v>
      </c>
      <c r="P17" s="129" t="n">
        <v>10</v>
      </c>
      <c r="Q17" s="129" t="n">
        <v>10</v>
      </c>
      <c r="R17" s="129" t="n">
        <v>10</v>
      </c>
      <c r="S17" s="129" t="n">
        <v>9</v>
      </c>
      <c r="T17" s="129" t="n">
        <v>10</v>
      </c>
      <c r="U17" s="129" t="n">
        <v>9</v>
      </c>
      <c r="V17" s="129" t="n">
        <v>9</v>
      </c>
      <c r="W17" s="130">
        <f>AVERAGE(D17:V17)</f>
        <v/>
      </c>
      <c r="X17" s="118">
        <f>IF(W17&gt;=8,"Excellent",IF(W17&gt;=6,"Very good",IF(W17&gt;=4,"Good",IF(W17&gt;=2,"Satisfactory",IF(W17&gt;=1,"Unsatisfactory")))))</f>
        <v/>
      </c>
    </row>
    <row r="18" ht="19.5" customHeight="1" s="108">
      <c r="A18" s="131" t="n"/>
      <c r="B18" s="131" t="n"/>
      <c r="C18" s="128" t="inlineStr">
        <is>
          <t>Time Management</t>
        </is>
      </c>
      <c r="D18" s="129" t="n">
        <v>7</v>
      </c>
      <c r="E18" s="129" t="n">
        <v>10</v>
      </c>
      <c r="F18" s="129" t="n">
        <v>10</v>
      </c>
      <c r="G18" s="129" t="n">
        <v>10</v>
      </c>
      <c r="H18" s="129" t="n">
        <v>10</v>
      </c>
      <c r="I18" s="129" t="n">
        <v>10</v>
      </c>
      <c r="J18" s="129" t="n">
        <v>10</v>
      </c>
      <c r="K18" s="129" t="n">
        <v>9</v>
      </c>
      <c r="L18" s="129" t="n">
        <v>10</v>
      </c>
      <c r="M18" s="129" t="n">
        <v>10</v>
      </c>
      <c r="N18" s="129" t="n">
        <v>10</v>
      </c>
      <c r="O18" s="129" t="n">
        <v>10</v>
      </c>
      <c r="P18" s="129" t="n">
        <v>10</v>
      </c>
      <c r="Q18" s="129" t="n">
        <v>10</v>
      </c>
      <c r="R18" s="129" t="n">
        <v>10</v>
      </c>
      <c r="S18" s="129" t="n">
        <v>10</v>
      </c>
      <c r="T18" s="129" t="n">
        <v>10</v>
      </c>
      <c r="U18" s="129" t="n">
        <v>8</v>
      </c>
      <c r="V18" s="129" t="n">
        <v>9</v>
      </c>
      <c r="W18" s="130">
        <f>AVERAGE(D18:V18)</f>
        <v/>
      </c>
      <c r="X18" s="118">
        <f>IF(W18&gt;=8,"Excellent",IF(W18&gt;=6,"Very good",IF(W18&gt;=4,"Good",IF(W18&gt;=2,"Satisfactory",IF(W18&gt;=1,"Unsatisfactory")))))</f>
        <v/>
      </c>
    </row>
    <row r="19" ht="19.5" customHeight="1" s="108">
      <c r="A19" s="131" t="n"/>
      <c r="B19" s="131" t="n"/>
      <c r="C19" s="125" t="inlineStr">
        <is>
          <t>Faculty Delivery</t>
        </is>
      </c>
      <c r="D19" s="125" t="n">
        <v>7</v>
      </c>
      <c r="E19" s="125" t="n">
        <v>8</v>
      </c>
      <c r="F19" s="129" t="n">
        <v>10</v>
      </c>
      <c r="G19" s="129" t="n">
        <v>10</v>
      </c>
      <c r="H19" s="125" t="n">
        <v>9</v>
      </c>
      <c r="I19" s="129" t="n">
        <v>10</v>
      </c>
      <c r="J19" s="129" t="n">
        <v>10</v>
      </c>
      <c r="K19" s="125" t="n">
        <v>9</v>
      </c>
      <c r="L19" s="125" t="n">
        <v>7</v>
      </c>
      <c r="M19" s="125" t="n">
        <v>10</v>
      </c>
      <c r="N19" s="129" t="n">
        <v>10</v>
      </c>
      <c r="O19" s="129" t="n">
        <v>10</v>
      </c>
      <c r="P19" s="129" t="n">
        <v>10</v>
      </c>
      <c r="Q19" s="129" t="n">
        <v>10</v>
      </c>
      <c r="R19" s="129" t="n">
        <v>10</v>
      </c>
      <c r="S19" s="129" t="n">
        <v>10</v>
      </c>
      <c r="T19" s="129" t="n">
        <v>9</v>
      </c>
      <c r="U19" s="129" t="n">
        <v>9</v>
      </c>
      <c r="V19" s="129" t="n">
        <v>9</v>
      </c>
      <c r="W19" s="130">
        <f>AVERAGE(D19:V19)</f>
        <v/>
      </c>
      <c r="X19" s="118">
        <f>IF(W19&gt;=8,"Excellent",IF(W19&gt;=6,"Very good",IF(W19&gt;=4,"Good",IF(W19&gt;=2,"Satisfactory",IF(W19&gt;=1,"Unsatisfactory")))))</f>
        <v/>
      </c>
    </row>
    <row r="20" ht="19.5" customHeight="1" s="108">
      <c r="A20" s="131" t="n"/>
      <c r="B20" s="124" t="n"/>
      <c r="C20" s="125" t="inlineStr">
        <is>
          <t>Faculty Participants Interaction</t>
        </is>
      </c>
      <c r="D20" s="132" t="n">
        <v>9</v>
      </c>
      <c r="E20" s="132" t="n">
        <v>10</v>
      </c>
      <c r="F20" s="129" t="n">
        <v>10</v>
      </c>
      <c r="G20" s="129" t="n">
        <v>10</v>
      </c>
      <c r="H20" s="132" t="n">
        <v>9</v>
      </c>
      <c r="I20" s="129" t="n">
        <v>10</v>
      </c>
      <c r="J20" s="129" t="n">
        <v>10</v>
      </c>
      <c r="K20" s="132" t="n">
        <v>9</v>
      </c>
      <c r="L20" s="132" t="n">
        <v>8</v>
      </c>
      <c r="M20" s="132" t="n">
        <v>9</v>
      </c>
      <c r="N20" s="129" t="n">
        <v>10</v>
      </c>
      <c r="O20" s="129" t="n">
        <v>10</v>
      </c>
      <c r="P20" s="129" t="n">
        <v>10</v>
      </c>
      <c r="Q20" s="129" t="n">
        <v>9</v>
      </c>
      <c r="R20" s="129" t="n">
        <v>10</v>
      </c>
      <c r="S20" s="129" t="n">
        <v>10</v>
      </c>
      <c r="T20" s="129" t="n">
        <v>9</v>
      </c>
      <c r="U20" s="129" t="n">
        <v>9</v>
      </c>
      <c r="V20" s="129" t="n">
        <v>9</v>
      </c>
      <c r="W20" s="130">
        <f>AVERAGE(D20:V20)</f>
        <v/>
      </c>
      <c r="X20" s="118">
        <f>IF(W20&gt;=8,"Excellent",IF(W20&gt;=6,"Very good",IF(W20&gt;=4,"Good",IF(W20&gt;=2,"Satisfactory",IF(W20&gt;=1,"Unsatisfactory")))))</f>
        <v/>
      </c>
    </row>
    <row r="21" ht="19.5" customHeight="1" s="108">
      <c r="A21" s="131" t="n"/>
      <c r="B21" s="127" t="inlineStr">
        <is>
          <t>Probability &amp; Statistics for Reliability (Basic Concepts)
(Mr Narendra S,
MGR (BG/PDIC))</t>
        </is>
      </c>
      <c r="C21" s="128" t="inlineStr">
        <is>
          <t>Course Contenet</t>
        </is>
      </c>
      <c r="D21" s="129" t="n">
        <v>10</v>
      </c>
      <c r="E21" s="129" t="n">
        <v>10</v>
      </c>
      <c r="F21" s="129" t="n">
        <v>10</v>
      </c>
      <c r="G21" s="129" t="n">
        <v>10</v>
      </c>
      <c r="H21" s="129" t="n">
        <v>9</v>
      </c>
      <c r="I21" s="129" t="n">
        <v>10</v>
      </c>
      <c r="J21" s="129" t="n">
        <v>10</v>
      </c>
      <c r="K21" s="129" t="n">
        <v>7</v>
      </c>
      <c r="L21" s="129" t="n">
        <v>6</v>
      </c>
      <c r="M21" s="129" t="n">
        <v>10</v>
      </c>
      <c r="N21" s="129" t="n">
        <v>10</v>
      </c>
      <c r="O21" s="129" t="n">
        <v>10</v>
      </c>
      <c r="P21" s="129" t="n">
        <v>10</v>
      </c>
      <c r="Q21" s="129" t="n">
        <v>9</v>
      </c>
      <c r="R21" s="129" t="n">
        <v>9</v>
      </c>
      <c r="S21" s="129" t="n">
        <v>10</v>
      </c>
      <c r="T21" s="129" t="n">
        <v>9</v>
      </c>
      <c r="U21" s="129" t="n">
        <v>9</v>
      </c>
      <c r="V21" s="129" t="n">
        <v>9</v>
      </c>
      <c r="W21" s="130">
        <f>AVERAGE(D21:V21)</f>
        <v/>
      </c>
      <c r="X21" s="118">
        <f>IF(W21&gt;=8,"Excellent",IF(W21&gt;=6,"Very good",IF(W21&gt;=4,"Good",IF(W21&gt;=2,"Satisfactory",IF(W21&gt;=1,"Unsatisfactory")))))</f>
        <v/>
      </c>
    </row>
    <row r="22" ht="19.5" customHeight="1" s="108">
      <c r="A22" s="131" t="n"/>
      <c r="B22" s="131" t="n"/>
      <c r="C22" s="128" t="inlineStr">
        <is>
          <t>Structure &amp; Flow</t>
        </is>
      </c>
      <c r="D22" s="129" t="n">
        <v>9</v>
      </c>
      <c r="E22" s="129" t="n">
        <v>9</v>
      </c>
      <c r="F22" s="129" t="n">
        <v>10</v>
      </c>
      <c r="G22" s="129" t="n">
        <v>10</v>
      </c>
      <c r="H22" s="129" t="n">
        <v>9</v>
      </c>
      <c r="I22" s="129" t="n">
        <v>10</v>
      </c>
      <c r="J22" s="129" t="n">
        <v>10</v>
      </c>
      <c r="K22" s="129" t="n">
        <v>8</v>
      </c>
      <c r="L22" s="129" t="n">
        <v>7</v>
      </c>
      <c r="M22" s="129" t="n">
        <v>9</v>
      </c>
      <c r="N22" s="129" t="n">
        <v>10</v>
      </c>
      <c r="O22" s="129" t="n">
        <v>10</v>
      </c>
      <c r="P22" s="129" t="n">
        <v>10</v>
      </c>
      <c r="Q22" s="129" t="n">
        <v>9</v>
      </c>
      <c r="R22" s="129" t="n">
        <v>10</v>
      </c>
      <c r="S22" s="129" t="n">
        <v>9</v>
      </c>
      <c r="T22" s="129" t="n">
        <v>9</v>
      </c>
      <c r="U22" s="129" t="n">
        <v>9</v>
      </c>
      <c r="V22" s="129" t="n">
        <v>9</v>
      </c>
      <c r="W22" s="130">
        <f>AVERAGE(D22:V22)</f>
        <v/>
      </c>
      <c r="X22" s="118">
        <f>IF(W22&gt;=8,"Excellent",IF(W22&gt;=6,"Very good",IF(W22&gt;=4,"Good",IF(W22&gt;=2,"Satisfactory",IF(W22&gt;=1,"Unsatisfactory")))))</f>
        <v/>
      </c>
    </row>
    <row r="23" ht="19.5" customHeight="1" s="108">
      <c r="A23" s="131" t="n"/>
      <c r="B23" s="131" t="n"/>
      <c r="C23" s="128" t="inlineStr">
        <is>
          <t>Time Management</t>
        </is>
      </c>
      <c r="D23" s="129" t="n">
        <v>9</v>
      </c>
      <c r="E23" s="129" t="n">
        <v>10</v>
      </c>
      <c r="F23" s="129" t="n">
        <v>10</v>
      </c>
      <c r="G23" s="129" t="n">
        <v>10</v>
      </c>
      <c r="H23" s="129" t="n">
        <v>9</v>
      </c>
      <c r="I23" s="129" t="n">
        <v>10</v>
      </c>
      <c r="J23" s="129" t="n">
        <v>10</v>
      </c>
      <c r="K23" s="129" t="n">
        <v>9</v>
      </c>
      <c r="L23" s="129" t="n">
        <v>10</v>
      </c>
      <c r="M23" s="129" t="n">
        <v>10</v>
      </c>
      <c r="N23" s="129" t="n">
        <v>10</v>
      </c>
      <c r="O23" s="129" t="n">
        <v>10</v>
      </c>
      <c r="P23" s="129" t="n">
        <v>10</v>
      </c>
      <c r="Q23" s="129" t="n">
        <v>9</v>
      </c>
      <c r="R23" s="129" t="n">
        <v>10</v>
      </c>
      <c r="S23" s="129" t="n">
        <v>10</v>
      </c>
      <c r="T23" s="129" t="n">
        <v>9</v>
      </c>
      <c r="U23" s="129" t="n">
        <v>9</v>
      </c>
      <c r="V23" s="129" t="n">
        <v>9</v>
      </c>
      <c r="W23" s="130">
        <f>AVERAGE(D23:V23)</f>
        <v/>
      </c>
      <c r="X23" s="118">
        <f>IF(W23&gt;=8,"Excellent",IF(W23&gt;=6,"Very good",IF(W23&gt;=4,"Good",IF(W23&gt;=2,"Satisfactory",IF(W23&gt;=1,"Unsatisfactory")))))</f>
        <v/>
      </c>
    </row>
    <row r="24" ht="19.5" customHeight="1" s="108">
      <c r="A24" s="131" t="n"/>
      <c r="B24" s="131" t="n"/>
      <c r="C24" s="125" t="inlineStr">
        <is>
          <t>Faculty Delivery</t>
        </is>
      </c>
      <c r="D24" s="125" t="n">
        <v>9</v>
      </c>
      <c r="E24" s="125" t="n">
        <v>10</v>
      </c>
      <c r="F24" s="129" t="n">
        <v>10</v>
      </c>
      <c r="G24" s="129" t="n">
        <v>10</v>
      </c>
      <c r="H24" s="125" t="n">
        <v>9</v>
      </c>
      <c r="I24" s="129" t="n">
        <v>10</v>
      </c>
      <c r="J24" s="129" t="n">
        <v>10</v>
      </c>
      <c r="K24" s="125" t="n">
        <v>9</v>
      </c>
      <c r="L24" s="125" t="n">
        <v>7</v>
      </c>
      <c r="M24" s="125" t="n">
        <v>10</v>
      </c>
      <c r="N24" s="129" t="n">
        <v>10</v>
      </c>
      <c r="O24" s="129" t="n">
        <v>10</v>
      </c>
      <c r="P24" s="129" t="n">
        <v>10</v>
      </c>
      <c r="Q24" s="129" t="n">
        <v>10</v>
      </c>
      <c r="R24" s="129" t="n">
        <v>10</v>
      </c>
      <c r="S24" s="129" t="n">
        <v>9</v>
      </c>
      <c r="T24" s="129" t="n">
        <v>9</v>
      </c>
      <c r="U24" s="129" t="n">
        <v>9</v>
      </c>
      <c r="V24" s="129" t="n">
        <v>9</v>
      </c>
      <c r="W24" s="130">
        <f>AVERAGE(D24:V24)</f>
        <v/>
      </c>
      <c r="X24" s="118">
        <f>IF(W24&gt;=8,"Excellent",IF(W24&gt;=6,"Very good",IF(W24&gt;=4,"Good",IF(W24&gt;=2,"Satisfactory",IF(W24&gt;=1,"Unsatisfactory")))))</f>
        <v/>
      </c>
    </row>
    <row r="25" ht="19.5" customHeight="1" s="108">
      <c r="A25" s="124" t="n"/>
      <c r="B25" s="124" t="n"/>
      <c r="C25" s="125" t="inlineStr">
        <is>
          <t>Faculty Participants Interaction</t>
        </is>
      </c>
      <c r="D25" s="132" t="n">
        <v>8</v>
      </c>
      <c r="E25" s="132" t="n">
        <v>9</v>
      </c>
      <c r="F25" s="129" t="n">
        <v>10</v>
      </c>
      <c r="G25" s="129" t="n">
        <v>10</v>
      </c>
      <c r="H25" s="132" t="n">
        <v>9</v>
      </c>
      <c r="I25" s="129" t="n">
        <v>10</v>
      </c>
      <c r="J25" s="129" t="n">
        <v>10</v>
      </c>
      <c r="K25" s="132" t="n">
        <v>9</v>
      </c>
      <c r="L25" s="132" t="n">
        <v>7</v>
      </c>
      <c r="M25" s="132" t="n">
        <v>10</v>
      </c>
      <c r="N25" s="129" t="n">
        <v>10</v>
      </c>
      <c r="O25" s="129" t="n">
        <v>10</v>
      </c>
      <c r="P25" s="129" t="n">
        <v>10</v>
      </c>
      <c r="Q25" s="129" t="n">
        <v>9</v>
      </c>
      <c r="R25" s="129" t="n">
        <v>10</v>
      </c>
      <c r="S25" s="129" t="n">
        <v>10</v>
      </c>
      <c r="T25" s="129" t="n">
        <v>9</v>
      </c>
      <c r="U25" s="129" t="n">
        <v>8</v>
      </c>
      <c r="V25" s="129" t="n">
        <v>9</v>
      </c>
      <c r="W25" s="130">
        <f>AVERAGE(D25:V25)</f>
        <v/>
      </c>
      <c r="X25" s="118">
        <f>IF(W25&gt;=8,"Excellent",IF(W25&gt;=6,"Very good",IF(W25&gt;=4,"Good",IF(W25&gt;=2,"Satisfactory",IF(W25&gt;=1,"Unsatisfactory")))))</f>
        <v/>
      </c>
    </row>
    <row r="26" ht="19.5" customHeight="1" s="108">
      <c r="A26" s="126" t="inlineStr">
        <is>
          <t>DAY 3
(08-07-2026)</t>
        </is>
      </c>
      <c r="B26" s="127" t="inlineStr">
        <is>
          <t>Reliability Fundamentals (Reliability Foundations)
(Mr Umesh Ghimirey, 
Sr.DGM (QM/BAE))</t>
        </is>
      </c>
      <c r="C26" s="128" t="inlineStr">
        <is>
          <t>Course Contenet</t>
        </is>
      </c>
      <c r="D26" s="129" t="n">
        <v>9</v>
      </c>
      <c r="E26" s="129" t="n">
        <v>9</v>
      </c>
      <c r="F26" s="129" t="n">
        <v>10</v>
      </c>
      <c r="G26" s="129" t="n">
        <v>10</v>
      </c>
      <c r="H26" s="129" t="n">
        <v>9</v>
      </c>
      <c r="I26" s="129" t="n">
        <v>10</v>
      </c>
      <c r="J26" s="129" t="n">
        <v>10</v>
      </c>
      <c r="K26" s="129" t="n">
        <v>8</v>
      </c>
      <c r="L26" s="129" t="n">
        <v>7</v>
      </c>
      <c r="M26" s="129" t="n">
        <v>10</v>
      </c>
      <c r="N26" s="129" t="n">
        <v>10</v>
      </c>
      <c r="O26" s="129" t="n">
        <v>10</v>
      </c>
      <c r="P26" s="129" t="n">
        <v>10</v>
      </c>
      <c r="Q26" s="129" t="n">
        <v>9</v>
      </c>
      <c r="R26" s="129" t="n">
        <v>10</v>
      </c>
      <c r="S26" s="129" t="n">
        <v>9</v>
      </c>
      <c r="T26" s="129" t="n">
        <v>9</v>
      </c>
      <c r="U26" s="129" t="n">
        <v>9</v>
      </c>
      <c r="V26" s="129" t="n">
        <v>9</v>
      </c>
      <c r="W26" s="130">
        <f>AVERAGE(D26:V26)</f>
        <v/>
      </c>
      <c r="X26" s="118">
        <f>IF(W26&gt;=8,"Excellent",IF(W26&gt;=6,"Very good",IF(W26&gt;=4,"Good",IF(W26&gt;=2,"Satisfactory",IF(W26&gt;=1,"Unsatisfactory")))))</f>
        <v/>
      </c>
    </row>
    <row r="27" ht="19.5" customHeight="1" s="108">
      <c r="A27" s="131" t="n"/>
      <c r="B27" s="131" t="n"/>
      <c r="C27" s="128" t="inlineStr">
        <is>
          <t>Structure &amp; Flow</t>
        </is>
      </c>
      <c r="D27" s="129" t="n">
        <v>9</v>
      </c>
      <c r="E27" s="129" t="n">
        <v>9</v>
      </c>
      <c r="F27" s="129" t="n">
        <v>10</v>
      </c>
      <c r="G27" s="129" t="n">
        <v>10</v>
      </c>
      <c r="H27" s="129" t="n">
        <v>9</v>
      </c>
      <c r="I27" s="129" t="n">
        <v>10</v>
      </c>
      <c r="J27" s="129" t="n">
        <v>10</v>
      </c>
      <c r="K27" s="129" t="n">
        <v>8</v>
      </c>
      <c r="L27" s="129" t="n">
        <v>7</v>
      </c>
      <c r="M27" s="129" t="n">
        <v>10</v>
      </c>
      <c r="N27" s="129" t="n">
        <v>9</v>
      </c>
      <c r="O27" s="129" t="n">
        <v>10</v>
      </c>
      <c r="P27" s="129" t="n">
        <v>10</v>
      </c>
      <c r="Q27" s="129" t="n">
        <v>10</v>
      </c>
      <c r="R27" s="129" t="n">
        <v>10</v>
      </c>
      <c r="S27" s="129" t="n">
        <v>10</v>
      </c>
      <c r="T27" s="129" t="n">
        <v>9</v>
      </c>
      <c r="U27" s="129" t="n">
        <v>9</v>
      </c>
      <c r="V27" s="129" t="n">
        <v>9</v>
      </c>
      <c r="W27" s="130">
        <f>AVERAGE(D27:V27)</f>
        <v/>
      </c>
      <c r="X27" s="118">
        <f>IF(W27&gt;=8,"Excellent",IF(W27&gt;=6,"Very good",IF(W27&gt;=4,"Good",IF(W27&gt;=2,"Satisfactory",IF(W27&gt;=1,"Unsatisfactory")))))</f>
        <v/>
      </c>
    </row>
    <row r="28" ht="19.5" customHeight="1" s="108">
      <c r="A28" s="131" t="n"/>
      <c r="B28" s="131" t="n"/>
      <c r="C28" s="128" t="inlineStr">
        <is>
          <t>Time Management</t>
        </is>
      </c>
      <c r="D28" s="129" t="n">
        <v>9</v>
      </c>
      <c r="E28" s="129" t="n">
        <v>10</v>
      </c>
      <c r="F28" s="129" t="n">
        <v>10</v>
      </c>
      <c r="G28" s="129" t="n">
        <v>10</v>
      </c>
      <c r="H28" s="129" t="n">
        <v>9</v>
      </c>
      <c r="I28" s="129" t="n">
        <v>10</v>
      </c>
      <c r="J28" s="129" t="n">
        <v>10</v>
      </c>
      <c r="K28" s="129" t="n">
        <v>9</v>
      </c>
      <c r="L28" s="129" t="n">
        <v>10</v>
      </c>
      <c r="M28" s="129" t="n">
        <v>9</v>
      </c>
      <c r="N28" s="129" t="n">
        <v>9</v>
      </c>
      <c r="O28" s="129" t="n">
        <v>10</v>
      </c>
      <c r="P28" s="129" t="n">
        <v>10</v>
      </c>
      <c r="Q28" s="129" t="n">
        <v>10</v>
      </c>
      <c r="R28" s="129" t="n">
        <v>10</v>
      </c>
      <c r="S28" s="129" t="n">
        <v>9</v>
      </c>
      <c r="T28" s="129" t="n">
        <v>9</v>
      </c>
      <c r="U28" s="129" t="n">
        <v>9</v>
      </c>
      <c r="V28" s="129" t="n">
        <v>9</v>
      </c>
      <c r="W28" s="130">
        <f>AVERAGE(D28:V28)</f>
        <v/>
      </c>
      <c r="X28" s="118">
        <f>IF(W28&gt;=8,"Excellent",IF(W28&gt;=6,"Very good",IF(W28&gt;=4,"Good",IF(W28&gt;=2,"Satisfactory",IF(W28&gt;=1,"Unsatisfactory")))))</f>
        <v/>
      </c>
    </row>
    <row r="29" ht="19.5" customHeight="1" s="108">
      <c r="A29" s="131" t="n"/>
      <c r="B29" s="131" t="n"/>
      <c r="C29" s="125" t="inlineStr">
        <is>
          <t>Faculty Delivery</t>
        </is>
      </c>
      <c r="D29" s="125" t="n">
        <v>8</v>
      </c>
      <c r="E29" s="125" t="n">
        <v>8</v>
      </c>
      <c r="F29" s="129" t="n">
        <v>10</v>
      </c>
      <c r="G29" s="129" t="n">
        <v>10</v>
      </c>
      <c r="H29" s="125" t="n">
        <v>9</v>
      </c>
      <c r="I29" s="129" t="n">
        <v>10</v>
      </c>
      <c r="J29" s="129" t="n">
        <v>10</v>
      </c>
      <c r="K29" s="125" t="n">
        <v>8</v>
      </c>
      <c r="L29" s="129" t="n">
        <v>7</v>
      </c>
      <c r="M29" s="125" t="n">
        <v>10</v>
      </c>
      <c r="N29" s="129" t="n">
        <v>10</v>
      </c>
      <c r="O29" s="129" t="n">
        <v>10</v>
      </c>
      <c r="P29" s="129" t="n">
        <v>10</v>
      </c>
      <c r="Q29" s="129" t="n">
        <v>10</v>
      </c>
      <c r="R29" s="129" t="n">
        <v>10</v>
      </c>
      <c r="S29" s="129" t="n">
        <v>9</v>
      </c>
      <c r="T29" s="129" t="n">
        <v>9</v>
      </c>
      <c r="U29" s="129" t="n">
        <v>9</v>
      </c>
      <c r="V29" s="129" t="n">
        <v>9</v>
      </c>
      <c r="W29" s="130">
        <f>AVERAGE(D29:V29)</f>
        <v/>
      </c>
      <c r="X29" s="118">
        <f>IF(W29&gt;=8,"Excellent",IF(W29&gt;=6,"Very good",IF(W29&gt;=4,"Good",IF(W29&gt;=2,"Satisfactory",IF(W29&gt;=1,"Unsatisfactory")))))</f>
        <v/>
      </c>
    </row>
    <row r="30" ht="19.5" customHeight="1" s="108">
      <c r="A30" s="131" t="n"/>
      <c r="B30" s="124" t="n"/>
      <c r="C30" s="125" t="inlineStr">
        <is>
          <t>Faculty Participants Interaction</t>
        </is>
      </c>
      <c r="D30" s="132" t="n">
        <v>9</v>
      </c>
      <c r="E30" s="132" t="n">
        <v>10</v>
      </c>
      <c r="F30" s="129" t="n">
        <v>10</v>
      </c>
      <c r="G30" s="129" t="n">
        <v>10</v>
      </c>
      <c r="H30" s="132" t="n">
        <v>10</v>
      </c>
      <c r="I30" s="129" t="n">
        <v>10</v>
      </c>
      <c r="J30" s="129" t="n">
        <v>10</v>
      </c>
      <c r="K30" s="132" t="n">
        <v>8</v>
      </c>
      <c r="L30" s="129" t="n">
        <v>8</v>
      </c>
      <c r="M30" s="132" t="n">
        <v>10</v>
      </c>
      <c r="N30" s="129" t="n">
        <v>10</v>
      </c>
      <c r="O30" s="129" t="n">
        <v>10</v>
      </c>
      <c r="P30" s="129" t="n">
        <v>10</v>
      </c>
      <c r="Q30" s="129" t="n">
        <v>9</v>
      </c>
      <c r="R30" s="129" t="n">
        <v>10</v>
      </c>
      <c r="S30" s="129" t="n">
        <v>10</v>
      </c>
      <c r="T30" s="129" t="n">
        <v>9</v>
      </c>
      <c r="U30" s="129" t="n">
        <v>9</v>
      </c>
      <c r="V30" s="129" t="n">
        <v>9</v>
      </c>
      <c r="W30" s="130">
        <f>AVERAGE(D30:V30)</f>
        <v/>
      </c>
      <c r="X30" s="118">
        <f>IF(W30&gt;=8,"Excellent",IF(W30&gt;=6,"Very good",IF(W30&gt;=4,"Good",IF(W30&gt;=2,"Satisfactory",IF(W30&gt;=1,"Unsatisfactory")))))</f>
        <v/>
      </c>
    </row>
    <row r="31" ht="19.5" customHeight="1" s="108">
      <c r="A31" s="131" t="n"/>
      <c r="B31" s="127" t="inlineStr">
        <is>
          <t>Probability &amp; Statistics for Reliability (Probability Distributions &amp; Functions)
(Mr Surendra Singh
DGM (QM/BAE))</t>
        </is>
      </c>
      <c r="C31" s="128" t="inlineStr">
        <is>
          <t>Course Contenet</t>
        </is>
      </c>
      <c r="D31" s="129" t="n">
        <v>10</v>
      </c>
      <c r="E31" s="129" t="n">
        <v>7</v>
      </c>
      <c r="F31" s="129" t="n">
        <v>10</v>
      </c>
      <c r="G31" s="129" t="n">
        <v>10</v>
      </c>
      <c r="H31" s="129" t="n">
        <v>9</v>
      </c>
      <c r="I31" s="129" t="n">
        <v>10</v>
      </c>
      <c r="J31" s="129" t="n">
        <v>10</v>
      </c>
      <c r="K31" s="129" t="n">
        <v>8</v>
      </c>
      <c r="L31" s="129" t="n">
        <v>6</v>
      </c>
      <c r="M31" s="132" t="n">
        <v>10</v>
      </c>
      <c r="N31" s="129" t="n">
        <v>10</v>
      </c>
      <c r="O31" s="129" t="n">
        <v>10</v>
      </c>
      <c r="P31" s="129" t="n">
        <v>10</v>
      </c>
      <c r="Q31" s="129" t="n">
        <v>9</v>
      </c>
      <c r="R31" s="129" t="n">
        <v>10</v>
      </c>
      <c r="S31" s="129" t="n">
        <v>9</v>
      </c>
      <c r="T31" s="129" t="n">
        <v>8</v>
      </c>
      <c r="U31" s="129" t="n">
        <v>9</v>
      </c>
      <c r="V31" s="129" t="n">
        <v>9</v>
      </c>
      <c r="W31" s="130">
        <f>AVERAGE(D31:V31)</f>
        <v/>
      </c>
      <c r="X31" s="118">
        <f>IF(W31&gt;=8,"Excellent",IF(W31&gt;=6,"Very good",IF(W31&gt;=4,"Good",IF(W31&gt;=2,"Satisfactory",IF(W31&gt;=1,"Unsatisfactory")))))</f>
        <v/>
      </c>
    </row>
    <row r="32" ht="19.5" customHeight="1" s="108">
      <c r="A32" s="131" t="n"/>
      <c r="B32" s="131" t="n"/>
      <c r="C32" s="128" t="inlineStr">
        <is>
          <t>Structure &amp; Flow</t>
        </is>
      </c>
      <c r="D32" s="129" t="n">
        <v>9</v>
      </c>
      <c r="E32" s="129" t="n">
        <v>6</v>
      </c>
      <c r="F32" s="129" t="n">
        <v>10</v>
      </c>
      <c r="G32" s="129" t="n">
        <v>10</v>
      </c>
      <c r="H32" s="129" t="n">
        <v>9</v>
      </c>
      <c r="I32" s="129" t="n">
        <v>10</v>
      </c>
      <c r="J32" s="129" t="n">
        <v>10</v>
      </c>
      <c r="K32" s="129" t="n">
        <v>7</v>
      </c>
      <c r="L32" s="129" t="n">
        <v>6</v>
      </c>
      <c r="M32" s="132" t="n">
        <v>9</v>
      </c>
      <c r="N32" s="129" t="n">
        <v>10</v>
      </c>
      <c r="O32" s="129" t="n">
        <v>10</v>
      </c>
      <c r="P32" s="129" t="n">
        <v>10</v>
      </c>
      <c r="Q32" s="129" t="n">
        <v>10</v>
      </c>
      <c r="R32" s="129" t="n">
        <v>10</v>
      </c>
      <c r="S32" s="129" t="n">
        <v>10</v>
      </c>
      <c r="T32" s="129" t="n">
        <v>8</v>
      </c>
      <c r="U32" s="129" t="n">
        <v>9</v>
      </c>
      <c r="V32" s="129" t="n">
        <v>9</v>
      </c>
      <c r="W32" s="130">
        <f>AVERAGE(D32:V32)</f>
        <v/>
      </c>
      <c r="X32" s="118">
        <f>IF(W32&gt;=8,"Excellent",IF(W32&gt;=6,"Very good",IF(W32&gt;=4,"Good",IF(W32&gt;=2,"Satisfactory",IF(W32&gt;=1,"Unsatisfactory")))))</f>
        <v/>
      </c>
    </row>
    <row r="33" ht="19.5" customHeight="1" s="108">
      <c r="A33" s="131" t="n"/>
      <c r="B33" s="131" t="n"/>
      <c r="C33" s="128" t="inlineStr">
        <is>
          <t>Time Management</t>
        </is>
      </c>
      <c r="D33" s="125" t="n">
        <v>9</v>
      </c>
      <c r="E33" s="125" t="n">
        <v>9</v>
      </c>
      <c r="F33" s="129" t="n">
        <v>10</v>
      </c>
      <c r="G33" s="129" t="n">
        <v>10</v>
      </c>
      <c r="H33" s="125" t="n">
        <v>9</v>
      </c>
      <c r="I33" s="129" t="n">
        <v>10</v>
      </c>
      <c r="J33" s="129" t="n">
        <v>10</v>
      </c>
      <c r="K33" s="125" t="n">
        <v>8</v>
      </c>
      <c r="L33" s="129" t="n">
        <v>10</v>
      </c>
      <c r="M33" s="132" t="n">
        <v>10</v>
      </c>
      <c r="N33" s="129" t="n">
        <v>9</v>
      </c>
      <c r="O33" s="129" t="n">
        <v>10</v>
      </c>
      <c r="P33" s="129" t="n">
        <v>10</v>
      </c>
      <c r="Q33" s="129" t="n">
        <v>10</v>
      </c>
      <c r="R33" s="129" t="n">
        <v>10</v>
      </c>
      <c r="S33" s="129" t="n">
        <v>10</v>
      </c>
      <c r="T33" s="129" t="n">
        <v>9</v>
      </c>
      <c r="U33" s="129" t="n">
        <v>9</v>
      </c>
      <c r="V33" s="129" t="n">
        <v>9</v>
      </c>
      <c r="W33" s="130">
        <f>AVERAGE(D33:V33)</f>
        <v/>
      </c>
      <c r="X33" s="118">
        <f>IF(W33&gt;=8,"Excellent",IF(W33&gt;=6,"Very good",IF(W33&gt;=4,"Good",IF(W33&gt;=2,"Satisfactory",IF(W33&gt;=1,"Unsatisfactory")))))</f>
        <v/>
      </c>
    </row>
    <row r="34" ht="19.5" customHeight="1" s="108">
      <c r="A34" s="131" t="n"/>
      <c r="B34" s="131" t="n"/>
      <c r="C34" s="125" t="inlineStr">
        <is>
          <t>Faculty Delivery</t>
        </is>
      </c>
      <c r="D34" s="125" t="n">
        <v>8</v>
      </c>
      <c r="E34" s="125" t="n">
        <v>5</v>
      </c>
      <c r="F34" s="129" t="n">
        <v>10</v>
      </c>
      <c r="G34" s="129" t="n">
        <v>10</v>
      </c>
      <c r="H34" s="125" t="n">
        <v>9</v>
      </c>
      <c r="I34" s="129" t="n">
        <v>10</v>
      </c>
      <c r="J34" s="129" t="n">
        <v>10</v>
      </c>
      <c r="K34" s="125" t="n">
        <v>8</v>
      </c>
      <c r="L34" s="129" t="n">
        <v>7</v>
      </c>
      <c r="M34" s="132" t="n">
        <v>10</v>
      </c>
      <c r="N34" s="129" t="n">
        <v>10</v>
      </c>
      <c r="O34" s="129" t="n">
        <v>10</v>
      </c>
      <c r="P34" s="129" t="n">
        <v>10</v>
      </c>
      <c r="Q34" s="129" t="n">
        <v>10</v>
      </c>
      <c r="R34" s="129" t="n">
        <v>10</v>
      </c>
      <c r="S34" s="129" t="n">
        <v>10</v>
      </c>
      <c r="T34" s="129" t="n">
        <v>8</v>
      </c>
      <c r="U34" s="129" t="n">
        <v>9</v>
      </c>
      <c r="V34" s="129" t="n">
        <v>9</v>
      </c>
      <c r="W34" s="130">
        <f>AVERAGE(D34:V34)</f>
        <v/>
      </c>
      <c r="X34" s="118">
        <f>IF(W34&gt;=8,"Excellent",IF(W34&gt;=6,"Very good",IF(W34&gt;=4,"Good",IF(W34&gt;=2,"Satisfactory",IF(W34&gt;=1,"Unsatisfactory")))))</f>
        <v/>
      </c>
    </row>
    <row r="35" ht="19.5" customHeight="1" s="108">
      <c r="A35" s="124" t="n"/>
      <c r="B35" s="124" t="n"/>
      <c r="C35" s="125" t="inlineStr">
        <is>
          <t>Faculty Participants Interaction</t>
        </is>
      </c>
      <c r="D35" s="132" t="n">
        <v>9</v>
      </c>
      <c r="E35" s="132" t="n">
        <v>6</v>
      </c>
      <c r="F35" s="129" t="n">
        <v>10</v>
      </c>
      <c r="G35" s="129" t="n">
        <v>10</v>
      </c>
      <c r="H35" s="132" t="n">
        <v>9</v>
      </c>
      <c r="I35" s="129" t="n">
        <v>10</v>
      </c>
      <c r="J35" s="129" t="n">
        <v>10</v>
      </c>
      <c r="K35" s="132" t="n">
        <v>8</v>
      </c>
      <c r="L35" s="129" t="n">
        <v>7</v>
      </c>
      <c r="M35" s="132" t="n">
        <v>9</v>
      </c>
      <c r="N35" s="129" t="n">
        <v>10</v>
      </c>
      <c r="O35" s="129" t="n">
        <v>10</v>
      </c>
      <c r="P35" s="129" t="n">
        <v>10</v>
      </c>
      <c r="Q35" s="129" t="n">
        <v>9</v>
      </c>
      <c r="R35" s="129" t="n">
        <v>10</v>
      </c>
      <c r="S35" s="129" t="n">
        <v>10</v>
      </c>
      <c r="T35" s="129" t="n">
        <v>8</v>
      </c>
      <c r="U35" s="129" t="n">
        <v>9</v>
      </c>
      <c r="V35" s="129" t="n">
        <v>9</v>
      </c>
      <c r="W35" s="130">
        <f>AVERAGE(D35:V35)</f>
        <v/>
      </c>
      <c r="X35" s="118">
        <f>IF(W35&gt;=8,"Excellent",IF(W35&gt;=6,"Very good",IF(W35&gt;=4,"Good",IF(W35&gt;=2,"Satisfactory",IF(W35&gt;=1,"Unsatisfactory")))))</f>
        <v/>
      </c>
    </row>
    <row r="36" ht="19.5" customHeight="1" s="108">
      <c r="A36" s="126" t="inlineStr">
        <is>
          <t>DAY 4
(09-07-2026)</t>
        </is>
      </c>
      <c r="B36" s="127" t="inlineStr">
        <is>
          <t>Probability &amp; Statistics for Reliability (Sampling Plans, SPC, Cp, Cpk)
(Mrs Pidathal Jahnavi
DM (BG/MS))</t>
        </is>
      </c>
      <c r="C36" s="128" t="inlineStr">
        <is>
          <t>Course Contenet</t>
        </is>
      </c>
      <c r="D36" s="129" t="n">
        <v>10</v>
      </c>
      <c r="E36" s="129" t="n">
        <v>7</v>
      </c>
      <c r="F36" s="129" t="n">
        <v>8</v>
      </c>
      <c r="G36" s="129" t="n">
        <v>10</v>
      </c>
      <c r="H36" s="129" t="n">
        <v>9</v>
      </c>
      <c r="I36" s="129" t="n">
        <v>10</v>
      </c>
      <c r="J36" s="129" t="n">
        <v>10</v>
      </c>
      <c r="K36" s="129" t="n">
        <v>8</v>
      </c>
      <c r="L36" s="129" t="n">
        <v>6</v>
      </c>
      <c r="M36" s="129" t="n">
        <v>9</v>
      </c>
      <c r="N36" s="129" t="n">
        <v>9</v>
      </c>
      <c r="O36" s="129" t="n">
        <v>10</v>
      </c>
      <c r="P36" s="129" t="n">
        <v>10</v>
      </c>
      <c r="Q36" s="129" t="n">
        <v>9</v>
      </c>
      <c r="R36" s="129" t="n">
        <v>9</v>
      </c>
      <c r="S36" s="129" t="n">
        <v>10</v>
      </c>
      <c r="T36" s="129" t="n">
        <v>7</v>
      </c>
      <c r="U36" s="129" t="n">
        <v>9</v>
      </c>
      <c r="V36" s="129" t="n">
        <v>9</v>
      </c>
      <c r="W36" s="130">
        <f>AVERAGE(D36:V36)</f>
        <v/>
      </c>
      <c r="X36" s="118">
        <f>IF(W36&gt;=8,"Excellent",IF(W36&gt;=6,"Very good",IF(W36&gt;=4,"Good",IF(W36&gt;=2,"Satisfactory",IF(W36&gt;=1,"Unsatisfactory")))))</f>
        <v/>
      </c>
    </row>
    <row r="37" ht="19.5" customHeight="1" s="108">
      <c r="A37" s="131" t="n"/>
      <c r="B37" s="131" t="n"/>
      <c r="C37" s="128" t="inlineStr">
        <is>
          <t>Structure &amp; Flow</t>
        </is>
      </c>
      <c r="D37" s="129" t="n">
        <v>8</v>
      </c>
      <c r="E37" s="129" t="n">
        <v>7</v>
      </c>
      <c r="F37" s="129" t="n">
        <v>8</v>
      </c>
      <c r="G37" s="129" t="n">
        <v>10</v>
      </c>
      <c r="H37" s="129" t="n">
        <v>8</v>
      </c>
      <c r="I37" s="129" t="n">
        <v>10</v>
      </c>
      <c r="J37" s="129" t="n">
        <v>10</v>
      </c>
      <c r="K37" s="129" t="n">
        <v>7</v>
      </c>
      <c r="L37" s="129" t="n">
        <v>6</v>
      </c>
      <c r="M37" s="129" t="n">
        <v>9</v>
      </c>
      <c r="N37" s="129" t="n">
        <v>9</v>
      </c>
      <c r="O37" s="129" t="n">
        <v>10</v>
      </c>
      <c r="P37" s="129" t="n">
        <v>10</v>
      </c>
      <c r="Q37" s="129" t="n">
        <v>9</v>
      </c>
      <c r="R37" s="129" t="n">
        <v>9</v>
      </c>
      <c r="S37" s="129" t="n">
        <v>10</v>
      </c>
      <c r="T37" s="129" t="n">
        <v>6</v>
      </c>
      <c r="U37" s="129" t="n">
        <v>9</v>
      </c>
      <c r="V37" s="129" t="n">
        <v>9</v>
      </c>
      <c r="W37" s="130">
        <f>AVERAGE(D37:V37)</f>
        <v/>
      </c>
      <c r="X37" s="118">
        <f>IF(W37&gt;=8,"Excellent",IF(W37&gt;=6,"Very good",IF(W37&gt;=4,"Good",IF(W37&gt;=2,"Satisfactory",IF(W37&gt;=1,"Unsatisfactory")))))</f>
        <v/>
      </c>
    </row>
    <row r="38" ht="19.5" customHeight="1" s="108">
      <c r="A38" s="131" t="n"/>
      <c r="B38" s="131" t="n"/>
      <c r="C38" s="128" t="inlineStr">
        <is>
          <t>Time Management</t>
        </is>
      </c>
      <c r="D38" s="129" t="n">
        <v>8</v>
      </c>
      <c r="E38" s="129" t="n">
        <v>9</v>
      </c>
      <c r="F38" s="129" t="n">
        <v>8</v>
      </c>
      <c r="G38" s="129" t="n">
        <v>10</v>
      </c>
      <c r="H38" s="129" t="n">
        <v>8</v>
      </c>
      <c r="I38" s="129" t="n">
        <v>10</v>
      </c>
      <c r="J38" s="129" t="n">
        <v>10</v>
      </c>
      <c r="K38" s="129" t="n">
        <v>8</v>
      </c>
      <c r="L38" s="129" t="n">
        <v>10</v>
      </c>
      <c r="M38" s="129" t="n">
        <v>10</v>
      </c>
      <c r="N38" s="129" t="n">
        <v>9</v>
      </c>
      <c r="O38" s="129" t="n">
        <v>9</v>
      </c>
      <c r="P38" s="129" t="n">
        <v>10</v>
      </c>
      <c r="Q38" s="129" t="n">
        <v>10</v>
      </c>
      <c r="R38" s="129" t="n">
        <v>9</v>
      </c>
      <c r="S38" s="129" t="n">
        <v>10</v>
      </c>
      <c r="T38" s="129" t="n">
        <v>6</v>
      </c>
      <c r="U38" s="129" t="n">
        <v>9</v>
      </c>
      <c r="V38" s="129" t="n">
        <v>9</v>
      </c>
      <c r="W38" s="130">
        <f>AVERAGE(D38:V38)</f>
        <v/>
      </c>
      <c r="X38" s="118">
        <f>IF(W38&gt;=8,"Excellent",IF(W38&gt;=6,"Very good",IF(W38&gt;=4,"Good",IF(W38&gt;=2,"Satisfactory",IF(W38&gt;=1,"Unsatisfactory")))))</f>
        <v/>
      </c>
    </row>
    <row r="39" ht="19.5" customHeight="1" s="108">
      <c r="A39" s="131" t="n"/>
      <c r="B39" s="131" t="n"/>
      <c r="C39" s="125" t="inlineStr">
        <is>
          <t>Faculty Delivery</t>
        </is>
      </c>
      <c r="D39" s="125" t="n">
        <v>9</v>
      </c>
      <c r="E39" s="125" t="n">
        <v>7</v>
      </c>
      <c r="F39" s="125" t="n">
        <v>8</v>
      </c>
      <c r="G39" s="129" t="n">
        <v>10</v>
      </c>
      <c r="H39" s="125" t="n">
        <v>8</v>
      </c>
      <c r="I39" s="129" t="n">
        <v>10</v>
      </c>
      <c r="J39" s="129" t="n">
        <v>10</v>
      </c>
      <c r="K39" s="125" t="n">
        <v>7</v>
      </c>
      <c r="L39" s="129" t="n">
        <v>6</v>
      </c>
      <c r="M39" s="125" t="n">
        <v>9</v>
      </c>
      <c r="N39" s="129" t="n">
        <v>10</v>
      </c>
      <c r="O39" s="129" t="n">
        <v>10</v>
      </c>
      <c r="P39" s="129" t="n">
        <v>9</v>
      </c>
      <c r="Q39" s="129" t="n">
        <v>9</v>
      </c>
      <c r="R39" s="129" t="n">
        <v>9</v>
      </c>
      <c r="S39" s="129" t="n">
        <v>10</v>
      </c>
      <c r="T39" s="129" t="n">
        <v>6</v>
      </c>
      <c r="U39" s="129" t="n">
        <v>9</v>
      </c>
      <c r="V39" s="129" t="n">
        <v>9</v>
      </c>
      <c r="W39" s="130">
        <f>AVERAGE(D39:V39)</f>
        <v/>
      </c>
      <c r="X39" s="118">
        <f>IF(W39&gt;=8,"Excellent",IF(W39&gt;=6,"Very good",IF(W39&gt;=4,"Good",IF(W39&gt;=2,"Satisfactory",IF(W39&gt;=1,"Unsatisfactory")))))</f>
        <v/>
      </c>
    </row>
    <row r="40" ht="19.5" customHeight="1" s="108">
      <c r="A40" s="131" t="n"/>
      <c r="B40" s="124" t="n"/>
      <c r="C40" s="125" t="inlineStr">
        <is>
          <t>Faculty Participants Interaction</t>
        </is>
      </c>
      <c r="D40" s="132" t="n">
        <v>9</v>
      </c>
      <c r="E40" s="132" t="n">
        <v>7</v>
      </c>
      <c r="F40" s="132" t="n">
        <v>8</v>
      </c>
      <c r="G40" s="129" t="n">
        <v>10</v>
      </c>
      <c r="H40" s="132" t="n">
        <v>7</v>
      </c>
      <c r="I40" s="129" t="n">
        <v>10</v>
      </c>
      <c r="J40" s="129" t="n">
        <v>10</v>
      </c>
      <c r="K40" s="132" t="n">
        <v>7</v>
      </c>
      <c r="L40" s="129" t="n">
        <v>6</v>
      </c>
      <c r="M40" s="132" t="n">
        <v>10</v>
      </c>
      <c r="N40" s="129" t="n">
        <v>10</v>
      </c>
      <c r="O40" s="129" t="n">
        <v>10</v>
      </c>
      <c r="P40" s="129" t="n">
        <v>10</v>
      </c>
      <c r="Q40" s="129" t="n">
        <v>9</v>
      </c>
      <c r="R40" s="129" t="n">
        <v>9</v>
      </c>
      <c r="S40" s="129" t="n">
        <v>10</v>
      </c>
      <c r="T40" s="129" t="n">
        <v>6</v>
      </c>
      <c r="U40" s="129" t="n">
        <v>9</v>
      </c>
      <c r="V40" s="129" t="n">
        <v>9</v>
      </c>
      <c r="W40" s="130">
        <f>AVERAGE(D40:V40)</f>
        <v/>
      </c>
      <c r="X40" s="118">
        <f>IF(W40&gt;=8,"Excellent",IF(W40&gt;=6,"Very good",IF(W40&gt;=4,"Good",IF(W40&gt;=2,"Satisfactory",IF(W40&gt;=1,"Unsatisfactory")))))</f>
        <v/>
      </c>
    </row>
    <row r="41" ht="19.5" customHeight="1" s="108">
      <c r="A41" s="131" t="n"/>
      <c r="B41" s="127" t="inlineStr">
        <is>
          <t>Probability &amp; Statistics for Reliability (Confidence &amp; Tolerance Intervals, Test of Hypothesis, ANOVA)
(Mr Surendra Singh
DGM (QM/BAE))</t>
        </is>
      </c>
      <c r="C41" s="128" t="inlineStr">
        <is>
          <t>Course Contenet</t>
        </is>
      </c>
      <c r="D41" s="129" t="n">
        <v>10</v>
      </c>
      <c r="E41" s="129" t="n">
        <v>7</v>
      </c>
      <c r="F41" s="129" t="n">
        <v>9</v>
      </c>
      <c r="G41" s="129" t="n">
        <v>10</v>
      </c>
      <c r="H41" s="129" t="n">
        <v>9</v>
      </c>
      <c r="I41" s="129" t="n">
        <v>10</v>
      </c>
      <c r="J41" s="129" t="n">
        <v>10</v>
      </c>
      <c r="K41" s="129" t="n">
        <v>8</v>
      </c>
      <c r="L41" s="129" t="n">
        <v>6</v>
      </c>
      <c r="M41" s="132" t="n">
        <v>10</v>
      </c>
      <c r="N41" s="129" t="n">
        <v>10</v>
      </c>
      <c r="O41" s="129" t="n">
        <v>10</v>
      </c>
      <c r="P41" s="129" t="n">
        <v>10</v>
      </c>
      <c r="Q41" s="129" t="n">
        <v>10</v>
      </c>
      <c r="R41" s="129" t="n">
        <v>9</v>
      </c>
      <c r="S41" s="129" t="n">
        <v>10</v>
      </c>
      <c r="T41" s="129" t="n">
        <v>8</v>
      </c>
      <c r="U41" s="129" t="n">
        <v>9</v>
      </c>
      <c r="V41" s="129" t="n">
        <v>9</v>
      </c>
      <c r="W41" s="130">
        <f>AVERAGE(D41:V41)</f>
        <v/>
      </c>
      <c r="X41" s="118">
        <f>IF(W41&gt;=8,"Excellent",IF(W41&gt;=6,"Very good",IF(W41&gt;=4,"Good",IF(W41&gt;=2,"Satisfactory",IF(W41&gt;=1,"Unsatisfactory")))))</f>
        <v/>
      </c>
    </row>
    <row r="42" ht="19.5" customHeight="1" s="108">
      <c r="A42" s="131" t="n"/>
      <c r="B42" s="131" t="n"/>
      <c r="C42" s="128" t="inlineStr">
        <is>
          <t>Structure &amp; Flow</t>
        </is>
      </c>
      <c r="D42" s="129" t="n">
        <v>8</v>
      </c>
      <c r="E42" s="129" t="n">
        <v>6</v>
      </c>
      <c r="F42" s="129" t="n">
        <v>9</v>
      </c>
      <c r="G42" s="129" t="n">
        <v>10</v>
      </c>
      <c r="H42" s="129" t="n">
        <v>9</v>
      </c>
      <c r="I42" s="129" t="n">
        <v>10</v>
      </c>
      <c r="J42" s="129" t="n">
        <v>10</v>
      </c>
      <c r="K42" s="129" t="n">
        <v>7</v>
      </c>
      <c r="L42" s="129" t="n">
        <v>7</v>
      </c>
      <c r="M42" s="132" t="n">
        <v>9</v>
      </c>
      <c r="N42" s="129" t="n">
        <v>10</v>
      </c>
      <c r="O42" s="129" t="n">
        <v>10</v>
      </c>
      <c r="P42" s="129" t="n">
        <v>10</v>
      </c>
      <c r="Q42" s="129" t="n">
        <v>10</v>
      </c>
      <c r="R42" s="129" t="n">
        <v>9</v>
      </c>
      <c r="S42" s="129" t="n">
        <v>10</v>
      </c>
      <c r="T42" s="129" t="n">
        <v>8</v>
      </c>
      <c r="U42" s="129" t="n">
        <v>9</v>
      </c>
      <c r="V42" s="129" t="n">
        <v>9</v>
      </c>
      <c r="W42" s="130">
        <f>AVERAGE(D42:V42)</f>
        <v/>
      </c>
      <c r="X42" s="118">
        <f>IF(W42&gt;=8,"Excellent",IF(W42&gt;=6,"Very good",IF(W42&gt;=4,"Good",IF(W42&gt;=2,"Satisfactory",IF(W42&gt;=1,"Unsatisfactory")))))</f>
        <v/>
      </c>
    </row>
    <row r="43" ht="19.5" customHeight="1" s="108">
      <c r="A43" s="131" t="n"/>
      <c r="B43" s="131" t="n"/>
      <c r="C43" s="128" t="inlineStr">
        <is>
          <t>Time Management</t>
        </is>
      </c>
      <c r="D43" s="125" t="n">
        <v>6</v>
      </c>
      <c r="E43" s="125" t="n">
        <v>9</v>
      </c>
      <c r="F43" s="125" t="n">
        <v>9</v>
      </c>
      <c r="G43" s="129" t="n">
        <v>10</v>
      </c>
      <c r="H43" s="125" t="n">
        <v>8</v>
      </c>
      <c r="I43" s="129" t="n">
        <v>10</v>
      </c>
      <c r="J43" s="129" t="n">
        <v>10</v>
      </c>
      <c r="K43" s="125" t="n">
        <v>10</v>
      </c>
      <c r="L43" s="129" t="n">
        <v>10</v>
      </c>
      <c r="M43" s="132" t="n">
        <v>10</v>
      </c>
      <c r="N43" s="129" t="n">
        <v>9</v>
      </c>
      <c r="O43" s="129" t="n">
        <v>10</v>
      </c>
      <c r="P43" s="129" t="n">
        <v>10</v>
      </c>
      <c r="Q43" s="129" t="n">
        <v>10</v>
      </c>
      <c r="R43" s="129" t="n">
        <v>10</v>
      </c>
      <c r="S43" s="129" t="n">
        <v>10</v>
      </c>
      <c r="T43" s="129" t="n">
        <v>8</v>
      </c>
      <c r="U43" s="129" t="n">
        <v>9</v>
      </c>
      <c r="V43" s="129" t="n">
        <v>9</v>
      </c>
      <c r="W43" s="130">
        <f>AVERAGE(D43:V43)</f>
        <v/>
      </c>
      <c r="X43" s="118">
        <f>IF(W43&gt;=8,"Excellent",IF(W43&gt;=6,"Very good",IF(W43&gt;=4,"Good",IF(W43&gt;=2,"Satisfactory",IF(W43&gt;=1,"Unsatisfactory")))))</f>
        <v/>
      </c>
    </row>
    <row r="44" ht="19.5" customHeight="1" s="108">
      <c r="A44" s="131" t="n"/>
      <c r="B44" s="131" t="n"/>
      <c r="C44" s="125" t="inlineStr">
        <is>
          <t>Faculty Delivery</t>
        </is>
      </c>
      <c r="D44" s="125" t="n">
        <v>7</v>
      </c>
      <c r="E44" s="125" t="n">
        <v>5</v>
      </c>
      <c r="F44" s="125" t="n">
        <v>9</v>
      </c>
      <c r="G44" s="129" t="n">
        <v>10</v>
      </c>
      <c r="H44" s="125" t="n">
        <v>9</v>
      </c>
      <c r="I44" s="129" t="n">
        <v>10</v>
      </c>
      <c r="J44" s="129" t="n">
        <v>10</v>
      </c>
      <c r="K44" s="125" t="n">
        <v>9</v>
      </c>
      <c r="L44" s="129" t="n">
        <v>6</v>
      </c>
      <c r="M44" s="132" t="n">
        <v>10</v>
      </c>
      <c r="N44" s="129" t="n">
        <v>10</v>
      </c>
      <c r="O44" s="129" t="n">
        <v>10</v>
      </c>
      <c r="P44" s="129" t="n">
        <v>10</v>
      </c>
      <c r="Q44" s="129" t="n">
        <v>10</v>
      </c>
      <c r="R44" s="129" t="n">
        <v>10</v>
      </c>
      <c r="S44" s="129" t="n">
        <v>10</v>
      </c>
      <c r="T44" s="129" t="n">
        <v>8</v>
      </c>
      <c r="U44" s="129" t="n">
        <v>9</v>
      </c>
      <c r="V44" s="129" t="n">
        <v>9</v>
      </c>
      <c r="W44" s="130">
        <f>AVERAGE(D44:V44)</f>
        <v/>
      </c>
      <c r="X44" s="118">
        <f>IF(W44&gt;=8,"Excellent",IF(W44&gt;=6,"Very good",IF(W44&gt;=4,"Good",IF(W44&gt;=2,"Satisfactory",IF(W44&gt;=1,"Unsatisfactory")))))</f>
        <v/>
      </c>
    </row>
    <row r="45" ht="19.5" customHeight="1" s="108">
      <c r="A45" s="124" t="n"/>
      <c r="B45" s="124" t="n"/>
      <c r="C45" s="125" t="inlineStr">
        <is>
          <t>Faculty Participants Interaction</t>
        </is>
      </c>
      <c r="D45" s="132" t="n">
        <v>8</v>
      </c>
      <c r="E45" s="132" t="n">
        <v>6</v>
      </c>
      <c r="F45" s="132" t="n">
        <v>9</v>
      </c>
      <c r="G45" s="129" t="n">
        <v>10</v>
      </c>
      <c r="H45" s="132" t="n">
        <v>9</v>
      </c>
      <c r="I45" s="129" t="n">
        <v>10</v>
      </c>
      <c r="J45" s="129" t="n">
        <v>10</v>
      </c>
      <c r="K45" s="132" t="n">
        <v>9</v>
      </c>
      <c r="L45" s="129" t="n">
        <v>7</v>
      </c>
      <c r="M45" s="132" t="n">
        <v>10</v>
      </c>
      <c r="N45" s="129" t="n">
        <v>10</v>
      </c>
      <c r="O45" s="129" t="n">
        <v>10</v>
      </c>
      <c r="P45" s="129" t="n">
        <v>10</v>
      </c>
      <c r="Q45" s="129" t="n">
        <v>9</v>
      </c>
      <c r="R45" s="129" t="n">
        <v>9</v>
      </c>
      <c r="S45" s="129" t="n">
        <v>10</v>
      </c>
      <c r="T45" s="129" t="n">
        <v>8</v>
      </c>
      <c r="U45" s="129" t="n">
        <v>9</v>
      </c>
      <c r="V45" s="129" t="n">
        <v>9</v>
      </c>
      <c r="W45" s="130">
        <f>AVERAGE(D45:V45)</f>
        <v/>
      </c>
      <c r="X45" s="118">
        <f>IF(W45&gt;=8,"Excellent",IF(W45&gt;=6,"Very good",IF(W45&gt;=4,"Good",IF(W45&gt;=2,"Satisfactory",IF(W45&gt;=1,"Unsatisfactory")))))</f>
        <v/>
      </c>
    </row>
    <row r="46" ht="19.5" customHeight="1" s="108">
      <c r="A46" s="126" t="inlineStr">
        <is>
          <t>DAY 5
(10-07-2026)</t>
        </is>
      </c>
      <c r="B46" s="127" t="inlineStr">
        <is>
          <t>Probability &amp; Statistics for Reliability (Confidence &amp; Tolerance Intervals, Test of Hypothesis, ANOVA)
(Mr Surendra Singh
DGM (QM/BAE))</t>
        </is>
      </c>
      <c r="C46" s="128" t="inlineStr">
        <is>
          <t>Course Contenet</t>
        </is>
      </c>
      <c r="D46" s="129" t="n">
        <v>8</v>
      </c>
      <c r="E46" s="129" t="n">
        <v>7</v>
      </c>
      <c r="F46" s="129" t="n">
        <v>10</v>
      </c>
      <c r="G46" s="129" t="n">
        <v>10</v>
      </c>
      <c r="H46" s="129" t="n">
        <v>9</v>
      </c>
      <c r="I46" s="129" t="n">
        <v>10</v>
      </c>
      <c r="J46" s="129" t="n">
        <v>10</v>
      </c>
      <c r="K46" s="129" t="n">
        <v>8</v>
      </c>
      <c r="L46" s="129" t="n">
        <v>6</v>
      </c>
      <c r="M46" s="129" t="n">
        <v>10</v>
      </c>
      <c r="N46" s="129" t="n">
        <v>10</v>
      </c>
      <c r="O46" s="129" t="n">
        <v>10</v>
      </c>
      <c r="P46" s="129" t="n">
        <v>10</v>
      </c>
      <c r="Q46" s="129" t="n">
        <v>10</v>
      </c>
      <c r="R46" s="129" t="n">
        <v>9</v>
      </c>
      <c r="S46" s="129" t="n">
        <v>10</v>
      </c>
      <c r="T46" s="129" t="n">
        <v>8</v>
      </c>
      <c r="U46" s="129" t="n">
        <v>9</v>
      </c>
      <c r="V46" s="129" t="n">
        <v>9</v>
      </c>
      <c r="W46" s="130">
        <f>AVERAGE(D46:V46)</f>
        <v/>
      </c>
      <c r="X46" s="118">
        <f>IF(W46&gt;=8,"Excellent",IF(W46&gt;=6,"Very good",IF(W46&gt;=4,"Good",IF(W46&gt;=2,"Satisfactory",IF(W46&gt;=1,"Unsatisfactory")))))</f>
        <v/>
      </c>
    </row>
    <row r="47" ht="19.5" customHeight="1" s="108">
      <c r="A47" s="131" t="n"/>
      <c r="B47" s="131" t="n"/>
      <c r="C47" s="128" t="inlineStr">
        <is>
          <t>Structure &amp; Flow</t>
        </is>
      </c>
      <c r="D47" s="129" t="n">
        <v>7</v>
      </c>
      <c r="E47" s="129" t="n">
        <v>6</v>
      </c>
      <c r="F47" s="129" t="n">
        <v>10</v>
      </c>
      <c r="G47" s="129" t="n">
        <v>10</v>
      </c>
      <c r="H47" s="129" t="n">
        <v>9</v>
      </c>
      <c r="I47" s="129" t="n">
        <v>10</v>
      </c>
      <c r="J47" s="129" t="n">
        <v>10</v>
      </c>
      <c r="K47" s="129" t="n">
        <v>7</v>
      </c>
      <c r="L47" s="129" t="n">
        <v>7</v>
      </c>
      <c r="M47" s="129" t="n">
        <v>10</v>
      </c>
      <c r="N47" s="129" t="n">
        <v>10</v>
      </c>
      <c r="O47" s="129" t="n">
        <v>10</v>
      </c>
      <c r="P47" s="129" t="n">
        <v>10</v>
      </c>
      <c r="Q47" s="129" t="n">
        <v>10</v>
      </c>
      <c r="R47" s="129" t="n">
        <v>9</v>
      </c>
      <c r="S47" s="129" t="n">
        <v>10</v>
      </c>
      <c r="T47" s="129" t="n">
        <v>7</v>
      </c>
      <c r="U47" s="129" t="n">
        <v>9</v>
      </c>
      <c r="V47" s="129" t="n">
        <v>9</v>
      </c>
      <c r="W47" s="130">
        <f>AVERAGE(D47:V47)</f>
        <v/>
      </c>
      <c r="X47" s="118">
        <f>IF(W47&gt;=8,"Excellent",IF(W47&gt;=6,"Very good",IF(W47&gt;=4,"Good",IF(W47&gt;=2,"Satisfactory",IF(W47&gt;=1,"Unsatisfactory")))))</f>
        <v/>
      </c>
    </row>
    <row r="48" ht="19.5" customHeight="1" s="108">
      <c r="A48" s="131" t="n"/>
      <c r="B48" s="131" t="n"/>
      <c r="C48" s="128" t="inlineStr">
        <is>
          <t>Time Management</t>
        </is>
      </c>
      <c r="D48" s="129" t="n">
        <v>8</v>
      </c>
      <c r="E48" s="129" t="n">
        <v>9</v>
      </c>
      <c r="F48" s="129" t="n">
        <v>10</v>
      </c>
      <c r="G48" s="129" t="n">
        <v>10</v>
      </c>
      <c r="H48" s="129" t="n">
        <v>10</v>
      </c>
      <c r="I48" s="129" t="n">
        <v>10</v>
      </c>
      <c r="J48" s="129" t="n">
        <v>10</v>
      </c>
      <c r="K48" s="129" t="n">
        <v>10</v>
      </c>
      <c r="L48" s="129" t="n">
        <v>10</v>
      </c>
      <c r="M48" s="129" t="n">
        <v>9</v>
      </c>
      <c r="N48" s="129" t="n">
        <v>10</v>
      </c>
      <c r="O48" s="129" t="n">
        <v>10</v>
      </c>
      <c r="P48" s="129" t="n">
        <v>10</v>
      </c>
      <c r="Q48" s="129" t="n">
        <v>10</v>
      </c>
      <c r="R48" s="129" t="n">
        <v>10</v>
      </c>
      <c r="S48" s="129" t="n">
        <v>10</v>
      </c>
      <c r="T48" s="129" t="n">
        <v>7</v>
      </c>
      <c r="U48" s="129" t="n">
        <v>9</v>
      </c>
      <c r="V48" s="129" t="n">
        <v>9</v>
      </c>
      <c r="W48" s="130">
        <f>AVERAGE(D48:V48)</f>
        <v/>
      </c>
      <c r="X48" s="118">
        <f>IF(W48&gt;=8,"Excellent",IF(W48&gt;=6,"Very good",IF(W48&gt;=4,"Good",IF(W48&gt;=2,"Satisfactory",IF(W48&gt;=1,"Unsatisfactory")))))</f>
        <v/>
      </c>
    </row>
    <row r="49" ht="19.5" customHeight="1" s="108">
      <c r="A49" s="131" t="n"/>
      <c r="B49" s="131" t="n"/>
      <c r="C49" s="125" t="inlineStr">
        <is>
          <t>Faculty Delivery</t>
        </is>
      </c>
      <c r="D49" s="125" t="n">
        <v>8</v>
      </c>
      <c r="E49" s="125" t="n">
        <v>5</v>
      </c>
      <c r="F49" s="125" t="n">
        <v>10</v>
      </c>
      <c r="G49" s="129" t="n">
        <v>10</v>
      </c>
      <c r="H49" s="125" t="n">
        <v>10</v>
      </c>
      <c r="I49" s="129" t="n">
        <v>10</v>
      </c>
      <c r="J49" s="129" t="n">
        <v>10</v>
      </c>
      <c r="K49" s="125" t="n">
        <v>9</v>
      </c>
      <c r="L49" s="129" t="n">
        <v>6</v>
      </c>
      <c r="M49" s="125" t="n">
        <v>10</v>
      </c>
      <c r="N49" s="129" t="n">
        <v>10</v>
      </c>
      <c r="O49" s="129" t="n">
        <v>10</v>
      </c>
      <c r="P49" s="129" t="n">
        <v>10</v>
      </c>
      <c r="Q49" s="129" t="n">
        <v>10</v>
      </c>
      <c r="R49" s="129" t="n">
        <v>9</v>
      </c>
      <c r="S49" s="129" t="n">
        <v>9</v>
      </c>
      <c r="T49" s="129" t="n">
        <v>7</v>
      </c>
      <c r="U49" s="129" t="n">
        <v>9</v>
      </c>
      <c r="V49" s="129" t="n">
        <v>9</v>
      </c>
      <c r="W49" s="130">
        <f>AVERAGE(D49:V49)</f>
        <v/>
      </c>
      <c r="X49" s="118">
        <f>IF(W49&gt;=8,"Excellent",IF(W49&gt;=6,"Very good",IF(W49&gt;=4,"Good",IF(W49&gt;=2,"Satisfactory",IF(W49&gt;=1,"Unsatisfactory")))))</f>
        <v/>
      </c>
    </row>
    <row r="50" ht="19.5" customHeight="1" s="108">
      <c r="A50" s="131" t="n"/>
      <c r="B50" s="124" t="n"/>
      <c r="C50" s="125" t="inlineStr">
        <is>
          <t>Faculty Participants Interaction</t>
        </is>
      </c>
      <c r="D50" s="132" t="n">
        <v>8</v>
      </c>
      <c r="E50" s="132" t="n">
        <v>6</v>
      </c>
      <c r="F50" s="132" t="n">
        <v>10</v>
      </c>
      <c r="G50" s="129" t="n">
        <v>10</v>
      </c>
      <c r="H50" s="132" t="n">
        <v>10</v>
      </c>
      <c r="I50" s="129" t="n">
        <v>10</v>
      </c>
      <c r="J50" s="129" t="n">
        <v>10</v>
      </c>
      <c r="K50" s="132" t="n">
        <v>9</v>
      </c>
      <c r="L50" s="129" t="n">
        <v>7</v>
      </c>
      <c r="M50" s="132" t="n">
        <v>10</v>
      </c>
      <c r="N50" s="129" t="n">
        <v>10</v>
      </c>
      <c r="O50" s="129" t="n">
        <v>10</v>
      </c>
      <c r="P50" s="129" t="n">
        <v>10</v>
      </c>
      <c r="Q50" s="129" t="n">
        <v>9</v>
      </c>
      <c r="R50" s="129" t="n">
        <v>9</v>
      </c>
      <c r="S50" s="129" t="n">
        <v>10</v>
      </c>
      <c r="T50" s="129" t="n">
        <v>7</v>
      </c>
      <c r="U50" s="129" t="n">
        <v>9</v>
      </c>
      <c r="V50" s="129" t="n">
        <v>9</v>
      </c>
      <c r="W50" s="130">
        <f>AVERAGE(D50:V50)</f>
        <v/>
      </c>
      <c r="X50" s="118">
        <f>IF(W50&gt;=8,"Excellent",IF(W50&gt;=6,"Very good",IF(W50&gt;=4,"Good",IF(W50&gt;=2,"Satisfactory",IF(W50&gt;=1,"Unsatisfactory")))))</f>
        <v/>
      </c>
    </row>
    <row r="51" ht="19.5" customHeight="1" s="108">
      <c r="A51" s="131" t="n"/>
      <c r="B51" s="127" t="inlineStr">
        <is>
          <t>Data Management
(Mr Narendra S,
MGR (BG/PDIC))</t>
        </is>
      </c>
      <c r="C51" s="128" t="inlineStr">
        <is>
          <t>Course Contenet</t>
        </is>
      </c>
      <c r="D51" s="129" t="n">
        <v>10</v>
      </c>
      <c r="E51" s="129" t="n">
        <v>10</v>
      </c>
      <c r="F51" s="129" t="n">
        <v>9</v>
      </c>
      <c r="G51" s="129" t="n">
        <v>10</v>
      </c>
      <c r="H51" s="129" t="n">
        <v>9</v>
      </c>
      <c r="I51" s="129" t="n">
        <v>10</v>
      </c>
      <c r="J51" s="129" t="n">
        <v>10</v>
      </c>
      <c r="K51" s="129" t="n">
        <v>8</v>
      </c>
      <c r="L51" s="129" t="n">
        <v>5</v>
      </c>
      <c r="M51" s="132" t="n">
        <v>10</v>
      </c>
      <c r="N51" s="129" t="n">
        <v>9</v>
      </c>
      <c r="O51" s="129" t="n">
        <v>10</v>
      </c>
      <c r="P51" s="129" t="n">
        <v>10</v>
      </c>
      <c r="Q51" s="129" t="n">
        <v>9</v>
      </c>
      <c r="R51" s="129" t="n">
        <v>10</v>
      </c>
      <c r="S51" s="129" t="n">
        <v>10</v>
      </c>
      <c r="T51" s="129" t="n">
        <v>9</v>
      </c>
      <c r="U51" s="129" t="n">
        <v>9</v>
      </c>
      <c r="V51" s="129" t="n">
        <v>9</v>
      </c>
      <c r="W51" s="130">
        <f>AVERAGE(D51:V51)</f>
        <v/>
      </c>
      <c r="X51" s="118">
        <f>IF(W51&gt;=8,"Excellent",IF(W51&gt;=6,"Very good",IF(W51&gt;=4,"Good",IF(W51&gt;=2,"Satisfactory",IF(W51&gt;=1,"Unsatisfactory")))))</f>
        <v/>
      </c>
    </row>
    <row r="52" ht="19.5" customHeight="1" s="108">
      <c r="A52" s="131" t="n"/>
      <c r="B52" s="131" t="n"/>
      <c r="C52" s="128" t="inlineStr">
        <is>
          <t>Structure &amp; Flow</t>
        </is>
      </c>
      <c r="D52" s="129" t="n">
        <v>9</v>
      </c>
      <c r="E52" s="129" t="n">
        <v>9</v>
      </c>
      <c r="F52" s="129" t="n">
        <v>9</v>
      </c>
      <c r="G52" s="129" t="n">
        <v>10</v>
      </c>
      <c r="H52" s="129" t="n">
        <v>9</v>
      </c>
      <c r="I52" s="129" t="n">
        <v>10</v>
      </c>
      <c r="J52" s="129" t="n">
        <v>10</v>
      </c>
      <c r="K52" s="129" t="n">
        <v>8</v>
      </c>
      <c r="L52" s="129" t="n">
        <v>6</v>
      </c>
      <c r="M52" s="132" t="n">
        <v>10</v>
      </c>
      <c r="N52" s="129" t="n">
        <v>9</v>
      </c>
      <c r="O52" s="129" t="n">
        <v>10</v>
      </c>
      <c r="P52" s="129" t="n">
        <v>10</v>
      </c>
      <c r="Q52" s="129" t="n">
        <v>9</v>
      </c>
      <c r="R52" s="129" t="n">
        <v>10</v>
      </c>
      <c r="S52" s="129" t="n">
        <v>10</v>
      </c>
      <c r="T52" s="129" t="n">
        <v>9</v>
      </c>
      <c r="U52" s="129" t="n">
        <v>9</v>
      </c>
      <c r="V52" s="129" t="n">
        <v>9</v>
      </c>
      <c r="W52" s="130">
        <f>AVERAGE(D52:V52)</f>
        <v/>
      </c>
      <c r="X52" s="118">
        <f>IF(W52&gt;=8,"Excellent",IF(W52&gt;=6,"Very good",IF(W52&gt;=4,"Good",IF(W52&gt;=2,"Satisfactory",IF(W52&gt;=1,"Unsatisfactory")))))</f>
        <v/>
      </c>
    </row>
    <row r="53" ht="19.5" customHeight="1" s="108">
      <c r="A53" s="131" t="n"/>
      <c r="B53" s="131" t="n"/>
      <c r="C53" s="128" t="inlineStr">
        <is>
          <t>Time Management</t>
        </is>
      </c>
      <c r="D53" s="125" t="n">
        <v>9</v>
      </c>
      <c r="E53" s="125" t="n">
        <v>10</v>
      </c>
      <c r="F53" s="125" t="n">
        <v>9</v>
      </c>
      <c r="G53" s="129" t="n">
        <v>10</v>
      </c>
      <c r="H53" s="125" t="n">
        <v>9</v>
      </c>
      <c r="I53" s="129" t="n">
        <v>10</v>
      </c>
      <c r="J53" s="129" t="n">
        <v>10</v>
      </c>
      <c r="K53" s="125" t="n">
        <v>9</v>
      </c>
      <c r="L53" s="129" t="n">
        <v>10</v>
      </c>
      <c r="M53" s="132" t="n">
        <v>10</v>
      </c>
      <c r="N53" s="129" t="n">
        <v>10</v>
      </c>
      <c r="O53" s="129" t="n">
        <v>10</v>
      </c>
      <c r="P53" s="129" t="n">
        <v>10</v>
      </c>
      <c r="Q53" s="129" t="n">
        <v>9</v>
      </c>
      <c r="R53" s="129" t="n">
        <v>10</v>
      </c>
      <c r="S53" s="129" t="n">
        <v>10</v>
      </c>
      <c r="T53" s="129" t="n">
        <v>9</v>
      </c>
      <c r="U53" s="129" t="n">
        <v>9</v>
      </c>
      <c r="V53" s="129" t="n">
        <v>9</v>
      </c>
      <c r="W53" s="130">
        <f>AVERAGE(D53:V53)</f>
        <v/>
      </c>
      <c r="X53" s="118">
        <f>IF(W53&gt;=8,"Excellent",IF(W53&gt;=6,"Very good",IF(W53&gt;=4,"Good",IF(W53&gt;=2,"Satisfactory",IF(W53&gt;=1,"Unsatisfactory")))))</f>
        <v/>
      </c>
    </row>
    <row r="54" ht="19.5" customHeight="1" s="108">
      <c r="A54" s="131" t="n"/>
      <c r="B54" s="131" t="n"/>
      <c r="C54" s="125" t="inlineStr">
        <is>
          <t>Faculty Delivery</t>
        </is>
      </c>
      <c r="D54" s="125" t="n">
        <v>9</v>
      </c>
      <c r="E54" s="125" t="n">
        <v>10</v>
      </c>
      <c r="F54" s="125" t="n">
        <v>9</v>
      </c>
      <c r="G54" s="129" t="n">
        <v>10</v>
      </c>
      <c r="H54" s="125" t="n">
        <v>9</v>
      </c>
      <c r="I54" s="129" t="n">
        <v>10</v>
      </c>
      <c r="J54" s="129" t="n">
        <v>10</v>
      </c>
      <c r="K54" s="125" t="n">
        <v>9</v>
      </c>
      <c r="L54" s="129" t="n">
        <v>6</v>
      </c>
      <c r="M54" s="132" t="n">
        <v>10</v>
      </c>
      <c r="N54" s="129" t="n">
        <v>10</v>
      </c>
      <c r="O54" s="129" t="n">
        <v>10</v>
      </c>
      <c r="P54" s="129" t="n">
        <v>10</v>
      </c>
      <c r="Q54" s="129" t="n">
        <v>9</v>
      </c>
      <c r="R54" s="129" t="n">
        <v>10</v>
      </c>
      <c r="S54" s="129" t="n">
        <v>10</v>
      </c>
      <c r="T54" s="129" t="n">
        <v>9</v>
      </c>
      <c r="U54" s="129" t="n">
        <v>9</v>
      </c>
      <c r="V54" s="129" t="n">
        <v>9</v>
      </c>
      <c r="W54" s="130">
        <f>AVERAGE(D54:V54)</f>
        <v/>
      </c>
      <c r="X54" s="118">
        <f>IF(W54&gt;=8,"Excellent",IF(W54&gt;=6,"Very good",IF(W54&gt;=4,"Good",IF(W54&gt;=2,"Satisfactory",IF(W54&gt;=1,"Unsatisfactory")))))</f>
        <v/>
      </c>
    </row>
    <row r="55" ht="19.5" customHeight="1" s="108">
      <c r="A55" s="124" t="n"/>
      <c r="B55" s="124" t="n"/>
      <c r="C55" s="125" t="inlineStr">
        <is>
          <t>Faculty Participants Interaction</t>
        </is>
      </c>
      <c r="D55" s="132" t="n">
        <v>9</v>
      </c>
      <c r="E55" s="132" t="n">
        <v>9</v>
      </c>
      <c r="F55" s="132" t="n">
        <v>9</v>
      </c>
      <c r="G55" s="129" t="n">
        <v>10</v>
      </c>
      <c r="H55" s="132" t="n">
        <v>9</v>
      </c>
      <c r="I55" s="129" t="n">
        <v>10</v>
      </c>
      <c r="J55" s="129" t="n">
        <v>10</v>
      </c>
      <c r="K55" s="132" t="n">
        <v>9</v>
      </c>
      <c r="L55" s="129" t="n">
        <v>6</v>
      </c>
      <c r="M55" s="132" t="n">
        <v>10</v>
      </c>
      <c r="N55" s="129" t="n">
        <v>10</v>
      </c>
      <c r="O55" s="129" t="n">
        <v>10</v>
      </c>
      <c r="P55" s="129" t="n">
        <v>10</v>
      </c>
      <c r="Q55" s="129" t="n">
        <v>9</v>
      </c>
      <c r="R55" s="129" t="n">
        <v>10</v>
      </c>
      <c r="S55" s="129" t="n">
        <v>10</v>
      </c>
      <c r="T55" s="129" t="n">
        <v>9</v>
      </c>
      <c r="U55" s="129" t="n">
        <v>9</v>
      </c>
      <c r="V55" s="129" t="n">
        <v>9</v>
      </c>
      <c r="W55" s="130">
        <f>AVERAGE(D55:V55)</f>
        <v/>
      </c>
      <c r="X55" s="118">
        <f>IF(W55&gt;=8,"Excellent",IF(W55&gt;=6,"Very good",IF(W55&gt;=4,"Good",IF(W55&gt;=2,"Satisfactory",IF(W55&gt;=1,"Unsatisfactory")))))</f>
        <v/>
      </c>
    </row>
    <row r="56"/>
    <row r="57"/>
    <row r="58"/>
    <row r="59" ht="59.25" customHeight="1" s="108">
      <c r="A59" s="133" t="n"/>
      <c r="B59" s="127" t="inlineStr">
        <is>
          <t>Suggestion 1</t>
        </is>
      </c>
      <c r="C59" s="116" t="n"/>
      <c r="D59" s="134" t="inlineStr">
        <is>
          <t>None</t>
        </is>
      </c>
      <c r="E59" s="135" t="inlineStr">
        <is>
          <t>thh</t>
        </is>
      </c>
      <c r="F59" s="136" t="n"/>
      <c r="G59" s="135" t="n"/>
      <c r="H59" s="135" t="inlineStr">
        <is>
          <t>Similar to Global Exam</t>
        </is>
      </c>
      <c r="I59" s="135" t="n"/>
      <c r="J59" s="135" t="n"/>
      <c r="K59" s="137" t="n"/>
      <c r="L59" s="137" t="n"/>
      <c r="M59" s="138" t="n"/>
      <c r="N59" s="135" t="inlineStr">
        <is>
          <t>Include practical examples of BEL in terms of calculation of Reliability, Quality to know the entire process depth</t>
        </is>
      </c>
      <c r="O59" s="137" t="n"/>
      <c r="P59" s="137" t="n"/>
      <c r="Q59" s="137" t="n"/>
      <c r="R59" s="135" t="inlineStr">
        <is>
          <t>CQE, Data Analyst</t>
        </is>
      </c>
      <c r="S59" s="135" t="n"/>
      <c r="T59" s="135" t="inlineStr">
        <is>
          <t>Add some training related to technical quality like welding quality and practical training</t>
        </is>
      </c>
      <c r="U59" s="135" t="inlineStr">
        <is>
          <t>FMEA, RCA, DoE etc.</t>
        </is>
      </c>
      <c r="V59" s="138" t="inlineStr">
        <is>
          <t>CQE</t>
        </is>
      </c>
      <c r="W59" s="139" t="n"/>
      <c r="X59" s="140" t="n"/>
    </row>
    <row r="60" ht="55.5" customHeight="1" s="108">
      <c r="A60" s="133" t="n"/>
      <c r="B60" s="127" t="inlineStr">
        <is>
          <t>Suggestion 2</t>
        </is>
      </c>
      <c r="C60" s="116" t="n"/>
      <c r="D60" s="135" t="inlineStr">
        <is>
          <t>Some topics were rushed became of time shortage</t>
        </is>
      </c>
      <c r="E60" s="135" t="inlineStr">
        <is>
          <t>Instead of focusing completely on ASQ CRE Exam, training should also focus on how participants can learn real world examples and should be able to apply them in work are.
Training is designed more like a student coaching center than for a working professional</t>
        </is>
      </c>
      <c r="F60" s="135" t="n"/>
      <c r="G60" s="135" t="n"/>
      <c r="H60" s="135" t="inlineStr">
        <is>
          <t>Please provide ASQ CRE 4th edition softcopy</t>
        </is>
      </c>
      <c r="I60" s="137" t="n"/>
      <c r="J60" s="135" t="inlineStr">
        <is>
          <t>Try to increase the duration of Course.
Arrange the course online, so that person from remote units will attend it in more numbers</t>
        </is>
      </c>
      <c r="K60" s="135" t="n"/>
      <c r="L60" s="135" t="inlineStr">
        <is>
          <t>Understanding the concept &amp; application orientation is preferrable compared to exam orientation</t>
        </is>
      </c>
      <c r="M60" s="135" t="inlineStr">
        <is>
          <t>More practical examples can be included to get more better understanding of topics covered</t>
        </is>
      </c>
      <c r="N60" s="135" t="inlineStr">
        <is>
          <t>Should include more &amp; more practical example with respect to BEL along with the flow of topics</t>
        </is>
      </c>
      <c r="O60" s="135" t="inlineStr">
        <is>
          <t>Focus should be given more on the subject &amp; how subject is useful for our jopb than focussing only a exam point of view</t>
        </is>
      </c>
      <c r="P60" s="135" t="inlineStr">
        <is>
          <t>Risk management tpoic was not up to my expectations more time &amp; more interactions session would have benefitfed</t>
        </is>
      </c>
      <c r="Q60" s="135" t="inlineStr">
        <is>
          <t>overall program was very good</t>
        </is>
      </c>
      <c r="R60" s="135" t="inlineStr">
        <is>
          <t>Latest edition handbook</t>
        </is>
      </c>
      <c r="S60" s="137" t="n"/>
      <c r="T60" s="137" t="n"/>
      <c r="U60" s="135" t="inlineStr">
        <is>
          <t>CRE tables compilation to be finetuned with relevant formulas &amp; rearranged as per topics, Assign more duration for confidence, materials, distributions, Hypothesis and Risk Management</t>
        </is>
      </c>
      <c r="V60" s="137" t="n"/>
      <c r="W60" s="139" t="n"/>
      <c r="X60" s="140" t="n"/>
    </row>
    <row r="61" ht="15.75" customHeight="1" s="108">
      <c r="E61" s="141" t="n"/>
      <c r="G61" s="107" t="inlineStr">
        <is>
          <t>.</t>
        </is>
      </c>
      <c r="K61" s="141" t="n"/>
    </row>
    <row r="62" ht="15.75" customHeight="1" s="108">
      <c r="J62" s="142" t="n"/>
      <c r="K62" s="143" t="n"/>
    </row>
    <row r="63" ht="15.75" customHeight="1" s="108">
      <c r="C63" s="144" t="inlineStr">
        <is>
          <t xml:space="preserve">Excellent </t>
        </is>
      </c>
      <c r="D63" s="145" t="n"/>
      <c r="E63" s="145" t="n"/>
      <c r="F63" s="145" t="n"/>
      <c r="G63" s="145" t="n"/>
      <c r="H63" s="145" t="n"/>
      <c r="I63" s="145" t="n"/>
      <c r="J63" s="145" t="n"/>
      <c r="K63" s="145" t="n"/>
      <c r="L63" s="145" t="n"/>
      <c r="M63" s="145" t="n"/>
      <c r="N63" s="145" t="n"/>
      <c r="O63" s="145" t="n"/>
      <c r="P63" s="145" t="n"/>
      <c r="Q63" s="145" t="n"/>
      <c r="R63" s="145" t="n"/>
      <c r="S63" s="145" t="n"/>
      <c r="T63" s="145" t="n"/>
      <c r="U63" s="145" t="n"/>
      <c r="V63" s="145" t="n"/>
    </row>
    <row r="64" ht="15.75" customHeight="1" s="108">
      <c r="C64" s="146" t="inlineStr">
        <is>
          <t>Very Good</t>
        </is>
      </c>
      <c r="D64" s="115" t="n"/>
      <c r="E64" s="115" t="n"/>
      <c r="F64" s="115" t="n"/>
      <c r="G64" s="115" t="n"/>
      <c r="H64" s="115" t="n"/>
      <c r="I64" s="115" t="n"/>
      <c r="J64" s="115" t="n"/>
      <c r="K64" s="115" t="n"/>
      <c r="L64" s="115" t="n"/>
      <c r="M64" s="115" t="n"/>
      <c r="N64" s="115" t="n"/>
      <c r="O64" s="115" t="n"/>
      <c r="P64" s="115" t="n"/>
      <c r="Q64" s="115" t="n"/>
      <c r="R64" s="115" t="n"/>
      <c r="S64" s="115" t="n"/>
      <c r="T64" s="115" t="n"/>
      <c r="U64" s="115" t="n"/>
      <c r="V64" s="115" t="n"/>
    </row>
    <row r="65" ht="15.75" customHeight="1" s="108">
      <c r="C65" s="147" t="inlineStr">
        <is>
          <t>Good</t>
        </is>
      </c>
      <c r="D65" s="115" t="n"/>
      <c r="E65" s="115" t="n"/>
      <c r="F65" s="115" t="n"/>
      <c r="G65" s="115" t="n"/>
      <c r="H65" s="115" t="n"/>
      <c r="I65" s="115" t="n"/>
      <c r="J65" s="115" t="n"/>
      <c r="K65" s="115" t="n"/>
      <c r="L65" s="115" t="n"/>
      <c r="M65" s="115" t="n"/>
      <c r="N65" s="115" t="n"/>
      <c r="O65" s="115" t="n"/>
      <c r="P65" s="115" t="n"/>
      <c r="Q65" s="115" t="n"/>
      <c r="R65" s="115" t="n"/>
      <c r="S65" s="115" t="n"/>
      <c r="T65" s="115" t="n"/>
      <c r="U65" s="115" t="n"/>
      <c r="V65" s="115" t="n"/>
    </row>
    <row r="66" ht="15.75" customHeight="1" s="108">
      <c r="C66" s="148" t="inlineStr">
        <is>
          <t>Satisfactory</t>
        </is>
      </c>
      <c r="D66" s="115" t="n"/>
      <c r="E66" s="115" t="n"/>
      <c r="F66" s="115" t="n"/>
      <c r="G66" s="115" t="n"/>
      <c r="H66" s="115" t="n"/>
      <c r="I66" s="115" t="n"/>
      <c r="J66" s="115" t="n"/>
      <c r="K66" s="115" t="n"/>
      <c r="L66" s="115" t="n"/>
      <c r="M66" s="115" t="n"/>
      <c r="N66" s="115" t="n"/>
      <c r="O66" s="115" t="n"/>
      <c r="P66" s="115" t="n"/>
      <c r="Q66" s="115" t="n"/>
      <c r="R66" s="115" t="n"/>
      <c r="S66" s="115" t="n"/>
      <c r="T66" s="115" t="n"/>
      <c r="U66" s="115" t="n"/>
      <c r="V66" s="115" t="n"/>
    </row>
    <row r="67" ht="15.75" customHeight="1" s="108">
      <c r="C67" s="149" t="inlineStr">
        <is>
          <t xml:space="preserve">Unsatisfactory </t>
        </is>
      </c>
      <c r="D67" s="150" t="n"/>
      <c r="E67" s="150" t="n"/>
      <c r="F67" s="150" t="n"/>
      <c r="G67" s="150" t="n"/>
      <c r="H67" s="150" t="n"/>
      <c r="I67" s="150" t="n"/>
      <c r="J67" s="150" t="n"/>
      <c r="K67" s="150" t="n"/>
      <c r="L67" s="150" t="n"/>
      <c r="M67" s="150" t="n"/>
      <c r="N67" s="150" t="n"/>
      <c r="O67" s="150" t="n"/>
      <c r="P67" s="150" t="n"/>
      <c r="Q67" s="150" t="n"/>
      <c r="R67" s="150" t="n"/>
      <c r="S67" s="150" t="n"/>
      <c r="T67" s="150" t="n"/>
      <c r="U67" s="150" t="n"/>
      <c r="V67" s="150" t="n"/>
    </row>
    <row r="68" ht="15.75" customHeight="1" s="108"/>
    <row r="69" ht="15.75" customHeight="1" s="108"/>
    <row r="70" ht="15.75" customHeight="1" s="108"/>
    <row r="71" ht="15.75" customHeight="1" s="108"/>
    <row r="72" ht="15.75" customHeight="1" s="108"/>
    <row r="73" ht="15.75" customHeight="1" s="108"/>
    <row r="74" ht="15.75" customHeight="1" s="108"/>
    <row r="75" ht="16.5" customHeight="1" s="108"/>
    <row r="77" ht="15.75" customHeight="1" s="108"/>
    <row r="78" ht="16.5" customHeight="1" s="108"/>
    <row r="79" ht="15.75" customHeight="1" s="108"/>
    <row r="80" ht="12.75" customHeight="1" s="108"/>
    <row r="81" ht="13.5" customHeight="1" s="108"/>
    <row r="82" ht="15" customHeight="1" s="108"/>
    <row r="83" ht="15" customHeight="1" s="108"/>
    <row r="84" ht="15" customHeight="1" s="108"/>
    <row r="85" ht="15" customHeight="1" s="108"/>
    <row r="86" ht="15" customHeight="1" s="108"/>
  </sheetData>
  <mergeCells count="30">
    <mergeCell ref="C2:X2"/>
    <mergeCell ref="C4:C5"/>
    <mergeCell ref="B59:C59"/>
    <mergeCell ref="D4:V4"/>
    <mergeCell ref="B6:B10"/>
    <mergeCell ref="C64:V64"/>
    <mergeCell ref="B51:B55"/>
    <mergeCell ref="B60:C60"/>
    <mergeCell ref="A36:A45"/>
    <mergeCell ref="B36:B40"/>
    <mergeCell ref="C63:V63"/>
    <mergeCell ref="C65:V65"/>
    <mergeCell ref="B41:B45"/>
    <mergeCell ref="D3:X3"/>
    <mergeCell ref="B16:B20"/>
    <mergeCell ref="A6:A15"/>
    <mergeCell ref="B26:B30"/>
    <mergeCell ref="A4:A5"/>
    <mergeCell ref="X4:X5"/>
    <mergeCell ref="A16:A25"/>
    <mergeCell ref="B31:B35"/>
    <mergeCell ref="A46:A55"/>
    <mergeCell ref="B46:B50"/>
    <mergeCell ref="A26:A35"/>
    <mergeCell ref="B4:B5"/>
    <mergeCell ref="B21:B25"/>
    <mergeCell ref="W4:W5"/>
    <mergeCell ref="B11:B15"/>
    <mergeCell ref="C67:V67"/>
    <mergeCell ref="C66:V66"/>
  </mergeCells>
  <conditionalFormatting sqref="X46:X55">
    <cfRule type="cellIs" rank="0" priority="2" equalAverage="0" operator="equal" aboveAverage="0" dxfId="0" text="" percent="0" bottom="0">
      <formula>"Unsatisfactory"</formula>
    </cfRule>
    <cfRule type="cellIs" rank="0" priority="3" equalAverage="0" operator="equal" aboveAverage="0" dxfId="1" text="" percent="0" bottom="0">
      <formula>"Satisfactory"</formula>
    </cfRule>
    <cfRule type="cellIs" rank="0" priority="4" equalAverage="0" operator="equal" aboveAverage="0" dxfId="2" text="" percent="0" bottom="0">
      <formula>"Good"</formula>
    </cfRule>
    <cfRule type="cellIs" rank="0" priority="5" equalAverage="0" operator="equal" aboveAverage="0" dxfId="3" text="" percent="0" bottom="0">
      <formula>"Very good"</formula>
    </cfRule>
    <cfRule type="cellIs" rank="0" priority="6" equalAverage="0" operator="equal" aboveAverage="0" dxfId="4" text="" percent="0" bottom="0">
      <formula>"Excellent"</formula>
    </cfRule>
  </conditionalFormatting>
  <conditionalFormatting sqref="X36:X45">
    <cfRule type="cellIs" rank="0" priority="7" equalAverage="0" operator="equal" aboveAverage="0" dxfId="0" text="" percent="0" bottom="0">
      <formula>"Unsatisfactory"</formula>
    </cfRule>
    <cfRule type="cellIs" rank="0" priority="8" equalAverage="0" operator="equal" aboveAverage="0" dxfId="1" text="" percent="0" bottom="0">
      <formula>"Satisfactory"</formula>
    </cfRule>
    <cfRule type="cellIs" rank="0" priority="9" equalAverage="0" operator="equal" aboveAverage="0" dxfId="2" text="" percent="0" bottom="0">
      <formula>"Good"</formula>
    </cfRule>
    <cfRule type="cellIs" rank="0" priority="10" equalAverage="0" operator="equal" aboveAverage="0" dxfId="3" text="" percent="0" bottom="0">
      <formula>"Very good"</formula>
    </cfRule>
    <cfRule type="cellIs" rank="0" priority="11" equalAverage="0" operator="equal" aboveAverage="0" dxfId="4" text="" percent="0" bottom="0">
      <formula>"Excellent"</formula>
    </cfRule>
  </conditionalFormatting>
  <conditionalFormatting sqref="X6:X35">
    <cfRule type="cellIs" rank="0" priority="12" equalAverage="0" operator="equal" aboveAverage="0" dxfId="0" text="" percent="0" bottom="0">
      <formula>"Unsatisfactory"</formula>
    </cfRule>
    <cfRule type="cellIs" rank="0" priority="13" equalAverage="0" operator="equal" aboveAverage="0" dxfId="1" text="" percent="0" bottom="0">
      <formula>"Satisfactory"</formula>
    </cfRule>
    <cfRule type="cellIs" rank="0" priority="14" equalAverage="0" operator="equal" aboveAverage="0" dxfId="2" text="" percent="0" bottom="0">
      <formula>"Good"</formula>
    </cfRule>
    <cfRule type="cellIs" rank="0" priority="15" equalAverage="0" operator="equal" aboveAverage="0" dxfId="3" text="" percent="0" bottom="0">
      <formula>"Very good"</formula>
    </cfRule>
    <cfRule type="cellIs" rank="0" priority="16" equalAverage="0" operator="equal" aboveAverage="0" dxfId="4" text="" percent="0" bottom="0">
      <formula>"Excellent"</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B4:V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4" activeCellId="0" sqref="C4"/>
    </sheetView>
  </sheetViews>
  <sheetFormatPr baseColWidth="8" defaultColWidth="8.6796875" defaultRowHeight="15" zeroHeight="0" outlineLevelRow="0"/>
  <cols>
    <col width="40.62" customWidth="1" style="107" min="2" max="2"/>
    <col width="11.12" customWidth="1" style="107" min="8" max="8"/>
    <col width="9" customWidth="1" style="107" min="13" max="21"/>
  </cols>
  <sheetData>
    <row r="4" ht="23.25" customHeight="1" s="108">
      <c r="B4" s="151" t="inlineStr">
        <is>
          <t xml:space="preserve">Staff No </t>
        </is>
      </c>
      <c r="C4" s="152" t="n">
        <v>218399</v>
      </c>
      <c r="D4" s="152">
        <f>'Mod-1 Participant''s Feedback'!E5</f>
        <v/>
      </c>
      <c r="E4" s="152">
        <f>'Mod-1 Participant''s Feedback'!F5</f>
        <v/>
      </c>
      <c r="F4" s="152">
        <f>'Mod-1 Participant''s Feedback'!G5</f>
        <v/>
      </c>
      <c r="G4" s="152">
        <f>'Mod-1 Participant''s Feedback'!H5</f>
        <v/>
      </c>
      <c r="H4" s="152">
        <f>'Mod-1 Participant''s Feedback'!I5</f>
        <v/>
      </c>
      <c r="I4" s="152">
        <f>'Mod-1 Participant''s Feedback'!J5</f>
        <v/>
      </c>
      <c r="J4" s="152">
        <f>'Mod-1 Participant''s Feedback'!K5</f>
        <v/>
      </c>
      <c r="K4" s="152">
        <f>'Mod-1 Participant''s Feedback'!L5</f>
        <v/>
      </c>
      <c r="L4" s="152">
        <f>'Mod-1 Participant''s Feedback'!M5</f>
        <v/>
      </c>
      <c r="M4" s="152">
        <f>'Mod-1 Participant''s Feedback'!N5</f>
        <v/>
      </c>
      <c r="N4" s="152">
        <f>'Mod-1 Participant''s Feedback'!O5</f>
        <v/>
      </c>
      <c r="O4" s="152">
        <f>'Mod-1 Participant''s Feedback'!P5</f>
        <v/>
      </c>
      <c r="P4" s="152">
        <f>'Mod-1 Participant''s Feedback'!Q5</f>
        <v/>
      </c>
      <c r="Q4" s="152">
        <f>'Mod-1 Participant''s Feedback'!R5</f>
        <v/>
      </c>
      <c r="R4" s="152">
        <f>'Mod-1 Participant''s Feedback'!S5</f>
        <v/>
      </c>
      <c r="S4" s="152">
        <f>'Mod-1 Participant''s Feedback'!T5</f>
        <v/>
      </c>
      <c r="T4" s="152">
        <f>'Mod-1 Participant''s Feedback'!U5</f>
        <v/>
      </c>
      <c r="U4" s="152">
        <f>'Mod-1 Participant''s Feedback'!V5</f>
        <v/>
      </c>
      <c r="V4" s="152" t="inlineStr">
        <is>
          <t>Average</t>
        </is>
      </c>
    </row>
    <row r="5" ht="23.25" customHeight="1" s="108">
      <c r="B5" s="151" t="inlineStr">
        <is>
          <t>Delivery Notes (Course Material)</t>
        </is>
      </c>
      <c r="C5" s="153" t="n"/>
      <c r="D5" s="153" t="n"/>
      <c r="E5" s="153" t="n"/>
      <c r="F5" s="153" t="n"/>
      <c r="G5" s="153" t="n"/>
      <c r="H5" s="153" t="n"/>
      <c r="I5" s="153" t="n"/>
      <c r="J5" s="153" t="n"/>
      <c r="K5" s="153" t="n"/>
      <c r="L5" s="153" t="n"/>
      <c r="M5" s="153" t="n"/>
      <c r="N5" s="153" t="n"/>
      <c r="O5" s="153" t="n"/>
      <c r="P5" s="153" t="n"/>
      <c r="Q5" s="153" t="n"/>
      <c r="R5" s="153" t="n"/>
      <c r="S5" s="153" t="n"/>
      <c r="T5" s="153" t="n"/>
      <c r="U5" s="153" t="n"/>
      <c r="V5" s="154">
        <f>AVERAGE(C5:U5)</f>
        <v/>
      </c>
    </row>
    <row r="6" ht="23.25" customHeight="1" s="108">
      <c r="B6" s="151" t="inlineStr">
        <is>
          <t>Communication &amp; Overall Coordination</t>
        </is>
      </c>
      <c r="C6" s="153" t="n"/>
      <c r="D6" s="153" t="n"/>
      <c r="E6" s="153" t="n"/>
      <c r="F6" s="153" t="n"/>
      <c r="G6" s="153" t="n"/>
      <c r="H6" s="153" t="n"/>
      <c r="I6" s="153" t="n"/>
      <c r="J6" s="153" t="n"/>
      <c r="K6" s="153" t="n"/>
      <c r="L6" s="153" t="n"/>
      <c r="M6" s="153" t="n"/>
      <c r="N6" s="153" t="n"/>
      <c r="O6" s="153" t="n"/>
      <c r="P6" s="153" t="n"/>
      <c r="Q6" s="153" t="n"/>
      <c r="R6" s="153" t="n"/>
      <c r="S6" s="153" t="n"/>
      <c r="T6" s="153" t="n"/>
      <c r="U6" s="153" t="n"/>
      <c r="V6" s="154">
        <f>AVERAGE(C6:U6)</f>
        <v/>
      </c>
    </row>
    <row r="7" ht="23.25" customHeight="1" s="108">
      <c r="B7" s="151" t="inlineStr">
        <is>
          <t>Classroom Facilities</t>
        </is>
      </c>
      <c r="C7" s="153" t="n"/>
      <c r="D7" s="153" t="n"/>
      <c r="E7" s="153" t="n"/>
      <c r="F7" s="153" t="n"/>
      <c r="G7" s="153" t="n"/>
      <c r="H7" s="153" t="n"/>
      <c r="I7" s="153" t="n"/>
      <c r="J7" s="153" t="n"/>
      <c r="K7" s="153" t="n"/>
      <c r="L7" s="153" t="n"/>
      <c r="M7" s="153" t="n"/>
      <c r="N7" s="153" t="n"/>
      <c r="O7" s="153" t="n"/>
      <c r="P7" s="153" t="n"/>
      <c r="Q7" s="153" t="n"/>
      <c r="R7" s="153" t="n"/>
      <c r="S7" s="153" t="n"/>
      <c r="T7" s="153" t="n"/>
      <c r="U7" s="153" t="n"/>
      <c r="V7" s="154">
        <f>AVERAGE(C7:U7)</f>
        <v/>
      </c>
    </row>
    <row r="8" ht="23.25" customHeight="1" s="108">
      <c r="B8" s="151" t="inlineStr">
        <is>
          <t>Relevance to your current job</t>
        </is>
      </c>
      <c r="C8" s="153" t="n"/>
      <c r="D8" s="153" t="n"/>
      <c r="E8" s="153" t="n"/>
      <c r="F8" s="153" t="n"/>
      <c r="G8" s="153" t="n"/>
      <c r="H8" s="153" t="n"/>
      <c r="I8" s="153" t="n"/>
      <c r="J8" s="153" t="n"/>
      <c r="K8" s="153" t="n"/>
      <c r="L8" s="153" t="n"/>
      <c r="M8" s="153" t="n"/>
      <c r="N8" s="153" t="n"/>
      <c r="O8" s="153" t="n"/>
      <c r="P8" s="153" t="n"/>
      <c r="Q8" s="153" t="n"/>
      <c r="R8" s="153" t="n"/>
      <c r="S8" s="153" t="n"/>
      <c r="T8" s="153" t="n"/>
      <c r="U8" s="153" t="n"/>
      <c r="V8" s="154">
        <f>AVERAGE(C8:U8)</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4" activeCellId="0" sqref="D4"/>
    </sheetView>
  </sheetViews>
  <sheetFormatPr baseColWidth="8" defaultColWidth="8.6796875" defaultRowHeight="15" zeroHeight="0" outlineLevelRow="0"/>
  <cols>
    <col width="6.25" customWidth="1" style="107" min="1" max="1"/>
    <col width="9.619999999999999" customWidth="1" style="107" min="2" max="2"/>
    <col width="47.38" customWidth="1" style="155" min="3" max="3"/>
    <col width="56.87" customWidth="1" style="156" min="4" max="4"/>
  </cols>
  <sheetData>
    <row r="1" ht="23.25" customHeight="1" s="108">
      <c r="A1" s="157" t="inlineStr">
        <is>
          <t>Basic Project Mnagement  Batch - 04  (Date: 9th to 11th Jun-2026 )</t>
        </is>
      </c>
      <c r="B1" s="115" t="n"/>
      <c r="C1" s="115" t="n"/>
      <c r="D1" s="116" t="n"/>
    </row>
    <row r="2" ht="21" customHeight="1" s="108">
      <c r="A2" s="158" t="inlineStr">
        <is>
          <t>Overall Program Feedback</t>
        </is>
      </c>
      <c r="B2" s="115" t="n"/>
      <c r="C2" s="115" t="n"/>
      <c r="D2" s="116" t="n"/>
    </row>
    <row r="3" ht="30" customHeight="1" s="108">
      <c r="A3" s="159" t="inlineStr">
        <is>
          <t>SL No</t>
        </is>
      </c>
      <c r="B3" s="159" t="inlineStr">
        <is>
          <t>Staff No</t>
        </is>
      </c>
      <c r="C3" s="160" t="inlineStr">
        <is>
          <t>What are the other quality training programs you want us to add in training calender ?</t>
        </is>
      </c>
      <c r="D3" s="159" t="inlineStr">
        <is>
          <t>Any Suggestions for the future program ?</t>
        </is>
      </c>
    </row>
    <row r="4" ht="16.5" customHeight="1" s="108">
      <c r="A4" s="161" t="n">
        <v>1</v>
      </c>
      <c r="B4" s="161">
        <f>INDEX('Mod-1 Participant''s Feedback'!$D$5:$HY$5,ROW(A1))</f>
        <v/>
      </c>
      <c r="C4" s="162">
        <f>INDEX('Mod-1 Participant''s Feedback'!$D$59:$HY$59,ROW(A1))</f>
        <v/>
      </c>
      <c r="D4" s="163">
        <f>INDEX('Mod-1 Participant''s Feedback'!$D$60:$HY$60,ROW(A1))</f>
        <v/>
      </c>
    </row>
    <row r="5" ht="82.5" customHeight="1" s="108">
      <c r="A5" s="161" t="n">
        <v>2</v>
      </c>
      <c r="B5" s="161">
        <f>INDEX('Mod-1 Participant''s Feedback'!$D$5:$HY$5,ROW(A2))</f>
        <v/>
      </c>
      <c r="C5" s="162">
        <f>INDEX('Mod-1 Participant''s Feedback'!$D$59:$HY$59,ROW(A2))</f>
        <v/>
      </c>
      <c r="D5" s="164">
        <f>INDEX('Mod-1 Participant''s Feedback'!$D$60:$HY$60,ROW(A2))</f>
        <v/>
      </c>
    </row>
    <row r="6" ht="16.5" customHeight="1" s="108">
      <c r="A6" s="161" t="n">
        <v>3</v>
      </c>
      <c r="B6" s="161">
        <f>INDEX('Mod-1 Participant''s Feedback'!$D$5:$HY$5,ROW(A3))</f>
        <v/>
      </c>
      <c r="C6" s="162">
        <f>INDEX('Mod-1 Participant''s Feedback'!$D$59:$HY$59,ROW(A3))</f>
        <v/>
      </c>
      <c r="D6" s="163">
        <f>INDEX('Mod-1 Participant''s Feedback'!$D$60:$HY$60,ROW(A3))</f>
        <v/>
      </c>
    </row>
    <row r="7" ht="16.5" customHeight="1" s="108">
      <c r="A7" s="161" t="n">
        <v>4</v>
      </c>
      <c r="B7" s="161">
        <f>INDEX('Mod-1 Participant''s Feedback'!$D$5:$HY$5,ROW(A4))</f>
        <v/>
      </c>
      <c r="C7" s="162">
        <f>INDEX('Mod-1 Participant''s Feedback'!$D$59:$HY$59,ROW(A4))</f>
        <v/>
      </c>
      <c r="D7" s="163">
        <f>INDEX('Mod-1 Participant''s Feedback'!$D$60:$HY$60,ROW(A4))</f>
        <v/>
      </c>
    </row>
    <row r="8" ht="16.5" customHeight="1" s="108">
      <c r="A8" s="161" t="n">
        <v>5</v>
      </c>
      <c r="B8" s="161">
        <f>INDEX('Mod-1 Participant''s Feedback'!$D$5:$HY$5,ROW(A5))</f>
        <v/>
      </c>
      <c r="C8" s="162">
        <f>INDEX('Mod-1 Participant''s Feedback'!$D$59:$HY$59,ROW(A5))</f>
        <v/>
      </c>
      <c r="D8" s="163">
        <f>INDEX('Mod-1 Participant''s Feedback'!$D$60:$HY$60,ROW(A5))</f>
        <v/>
      </c>
    </row>
    <row r="9" ht="16.5" customHeight="1" s="108">
      <c r="A9" s="161" t="n">
        <v>6</v>
      </c>
      <c r="B9" s="161">
        <f>INDEX('Mod-1 Participant''s Feedback'!$D$5:$HY$5,ROW(A6))</f>
        <v/>
      </c>
      <c r="C9" s="162">
        <f>INDEX('Mod-1 Participant''s Feedback'!$D$59:$HY$59,ROW(A6))</f>
        <v/>
      </c>
      <c r="D9" s="163">
        <f>INDEX('Mod-1 Participant''s Feedback'!$D$60:$HY$60,ROW(A6))</f>
        <v/>
      </c>
    </row>
    <row r="10" ht="49.5" customHeight="1" s="108">
      <c r="A10" s="161" t="n">
        <v>7</v>
      </c>
      <c r="B10" s="161">
        <f>INDEX('Mod-1 Participant''s Feedback'!$D$5:$HY$5,ROW(A7))</f>
        <v/>
      </c>
      <c r="C10" s="162">
        <f>INDEX('Mod-1 Participant''s Feedback'!$D$59:$HY$59,ROW(A7))</f>
        <v/>
      </c>
      <c r="D10" s="164">
        <f>INDEX('Mod-1 Participant''s Feedback'!$D$60:$HY$60,ROW(A7))</f>
        <v/>
      </c>
      <c r="H10" s="107" t="inlineStr">
        <is>
          <t>-</t>
        </is>
      </c>
    </row>
    <row r="11" ht="16.5" customHeight="1" s="108">
      <c r="A11" s="161" t="n">
        <v>8</v>
      </c>
      <c r="B11" s="161">
        <f>INDEX('Mod-1 Participant''s Feedback'!$D$5:$HY$5,ROW(A8))</f>
        <v/>
      </c>
      <c r="C11" s="162">
        <f>INDEX('Mod-1 Participant''s Feedback'!$D$59:$HY$59,ROW(A8))</f>
        <v/>
      </c>
      <c r="D11" s="163">
        <f>INDEX('Mod-1 Participant''s Feedback'!$D$60:$HY$60,ROW(A8))</f>
        <v/>
      </c>
    </row>
    <row r="12" ht="33" customHeight="1" s="108">
      <c r="A12" s="161" t="n">
        <v>9</v>
      </c>
      <c r="B12" s="161">
        <f>INDEX('Mod-1 Participant''s Feedback'!$D$5:$HY$5,ROW(A9))</f>
        <v/>
      </c>
      <c r="C12" s="162">
        <f>INDEX('Mod-1 Participant''s Feedback'!$D$59:$HY$59,ROW(A9))</f>
        <v/>
      </c>
      <c r="D12" s="164">
        <f>INDEX('Mod-1 Participant''s Feedback'!$D$60:$HY$60,ROW(A9))</f>
        <v/>
      </c>
    </row>
    <row r="13" ht="33" customHeight="1" s="108">
      <c r="A13" s="161" t="n">
        <v>10</v>
      </c>
      <c r="B13" s="161">
        <f>INDEX('Mod-1 Participant''s Feedback'!$D$5:$HY$5,ROW(A10))</f>
        <v/>
      </c>
      <c r="C13" s="162">
        <f>INDEX('Mod-1 Participant''s Feedback'!$D$59:$HY$59,ROW(A10))</f>
        <v/>
      </c>
      <c r="D13" s="164">
        <f>INDEX('Mod-1 Participant''s Feedback'!$D$60:$HY$60,ROW(A10))</f>
        <v/>
      </c>
    </row>
    <row r="14" ht="49.5" customHeight="1" s="108">
      <c r="A14" s="161" t="n">
        <v>11</v>
      </c>
      <c r="B14" s="161">
        <f>INDEX('Mod-1 Participant''s Feedback'!$D$5:$HY$5,ROW(A11))</f>
        <v/>
      </c>
      <c r="C14" s="165">
        <f>INDEX('Mod-1 Participant''s Feedback'!$D$59:$HY$59,ROW(A11))</f>
        <v/>
      </c>
      <c r="D14" s="164">
        <f>INDEX('Mod-1 Participant''s Feedback'!$D$60:$HY$60,ROW(A11))</f>
        <v/>
      </c>
    </row>
    <row r="15" ht="33" customHeight="1" s="108">
      <c r="A15" s="161" t="n">
        <v>12</v>
      </c>
      <c r="B15" s="161">
        <f>INDEX('Mod-1 Participant''s Feedback'!$D$5:$HY$5,ROW(A12))</f>
        <v/>
      </c>
      <c r="C15" s="162">
        <f>INDEX('Mod-1 Participant''s Feedback'!$D$59:$HY$59,ROW(A12))</f>
        <v/>
      </c>
      <c r="D15" s="164">
        <f>INDEX('Mod-1 Participant''s Feedback'!$D$60:$HY$60,ROW(A12))</f>
        <v/>
      </c>
    </row>
    <row r="16" ht="33" customHeight="1" s="108">
      <c r="A16" s="161" t="n">
        <v>13</v>
      </c>
      <c r="B16" s="161">
        <f>INDEX('Mod-1 Participant''s Feedback'!$D$5:$HY$5,ROW(A13))</f>
        <v/>
      </c>
      <c r="C16" s="162">
        <f>INDEX('Mod-1 Participant''s Feedback'!$D$59:$HY$59,ROW(A13))</f>
        <v/>
      </c>
      <c r="D16" s="164">
        <f>INDEX('Mod-1 Participant''s Feedback'!$D$60:$HY$60,ROW(A13))</f>
        <v/>
      </c>
    </row>
    <row r="17" ht="16.5" customHeight="1" s="108">
      <c r="A17" s="161" t="n">
        <v>14</v>
      </c>
      <c r="B17" s="161">
        <f>INDEX('Mod-1 Participant''s Feedback'!$D$5:$HY$5,ROW(A14))</f>
        <v/>
      </c>
      <c r="C17" s="162">
        <f>INDEX('Mod-1 Participant''s Feedback'!$D$59:$HY$59,ROW(A14))</f>
        <v/>
      </c>
      <c r="D17" s="163">
        <f>INDEX('Mod-1 Participant''s Feedback'!$D$60:$HY$60,ROW(A14))</f>
        <v/>
      </c>
    </row>
    <row r="18" ht="16.5" customHeight="1" s="108">
      <c r="A18" s="161" t="n">
        <v>15</v>
      </c>
      <c r="B18" s="161">
        <f>INDEX('Mod-1 Participant''s Feedback'!$D$5:$HY$5,ROW(A15))</f>
        <v/>
      </c>
      <c r="C18" s="162">
        <f>INDEX('Mod-1 Participant''s Feedback'!$D$59:$HY$59,ROW(A15))</f>
        <v/>
      </c>
      <c r="D18" s="163">
        <f>INDEX('Mod-1 Participant''s Feedback'!$D$60:$HY$60,ROW(A15))</f>
        <v/>
      </c>
    </row>
    <row r="19" ht="16.5" customHeight="1" s="108">
      <c r="A19" s="161" t="n">
        <v>16</v>
      </c>
      <c r="B19" s="161">
        <f>INDEX('Mod-1 Participant''s Feedback'!$D$5:$HY$5,ROW(A16))</f>
        <v/>
      </c>
      <c r="C19" s="162">
        <f>INDEX('Mod-1 Participant''s Feedback'!$D$59:$HY$59,ROW(A16))</f>
        <v/>
      </c>
      <c r="D19" s="163">
        <f>INDEX('Mod-1 Participant''s Feedback'!$D$60:$HY$60,ROW(A16))</f>
        <v/>
      </c>
    </row>
    <row r="20" ht="33" customHeight="1" s="108">
      <c r="A20" s="161" t="n">
        <v>17</v>
      </c>
      <c r="B20" s="161">
        <f>INDEX('Mod-1 Participant''s Feedback'!$D$5:$HY$5,ROW(A17))</f>
        <v/>
      </c>
      <c r="C20" s="165">
        <f>INDEX('Mod-1 Participant''s Feedback'!$D$59:$HY$59,ROW(A17))</f>
        <v/>
      </c>
      <c r="D20" s="163">
        <f>INDEX('Mod-1 Participant''s Feedback'!$D$60:$HY$60,ROW(A17))</f>
        <v/>
      </c>
    </row>
    <row r="21" ht="49.5" customHeight="1" s="108">
      <c r="A21" s="161" t="n">
        <v>18</v>
      </c>
      <c r="B21" s="161">
        <f>INDEX('Mod-1 Participant''s Feedback'!$D$5:$HY$5,ROW(A18))</f>
        <v/>
      </c>
      <c r="C21" s="162">
        <f>INDEX('Mod-1 Participant''s Feedback'!$D$59:$HY$59,ROW(A18))</f>
        <v/>
      </c>
      <c r="D21" s="164">
        <f>INDEX('Mod-1 Participant''s Feedback'!$D$60:$HY$60,ROW(A18))</f>
        <v/>
      </c>
    </row>
    <row r="22" ht="16.5" customHeight="1" s="108">
      <c r="A22" s="161" t="n">
        <v>19</v>
      </c>
      <c r="B22" s="161">
        <f>INDEX('Mod-1 Participant''s Feedback'!$D$5:$HY$5,ROW(A19))</f>
        <v/>
      </c>
      <c r="C22" s="162">
        <f>INDEX('Mod-1 Participant''s Feedback'!$D$59:$HY$59,ROW(A19))</f>
        <v/>
      </c>
      <c r="D22" s="163">
        <f>INDEX('Mod-1 Participant''s Feedback'!$D$60:$HY$60,ROW(A19))</f>
        <v/>
      </c>
    </row>
  </sheetData>
  <mergeCells count="2">
    <mergeCell ref="A1:D1"/>
    <mergeCell ref="A2:D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2" activeCellId="0" sqref="A2"/>
    </sheetView>
  </sheetViews>
  <sheetFormatPr baseColWidth="8" defaultColWidth="8.6796875" defaultRowHeight="15" zeroHeight="0" outlineLevelRow="0"/>
  <cols>
    <col width="16.12" customWidth="1" style="107" min="1" max="1"/>
    <col width="10" customWidth="1" style="107" min="2" max="4"/>
  </cols>
  <sheetData>
    <row r="1" ht="15" customHeight="1" s="108">
      <c r="A1" s="166" t="inlineStr">
        <is>
          <t>UG</t>
        </is>
      </c>
      <c r="B1" s="166" t="inlineStr">
        <is>
          <t>SS</t>
        </is>
      </c>
      <c r="C1" s="166" t="inlineStr">
        <is>
          <t>PJ</t>
        </is>
      </c>
      <c r="D1" s="166" t="inlineStr">
        <is>
          <t>NR</t>
        </is>
      </c>
      <c r="E1" s="166" t="inlineStr">
        <is>
          <t>JK</t>
        </is>
      </c>
    </row>
    <row r="2" ht="15" customHeight="1" s="108">
      <c r="A2" s="167" t="n">
        <v>9.368421052631581</v>
      </c>
      <c r="B2" s="167" t="n">
        <v>9.157894736842101</v>
      </c>
      <c r="C2" s="167" t="n">
        <v>8.89473684210526</v>
      </c>
      <c r="D2" s="167" t="n">
        <v>9.315789473684211</v>
      </c>
      <c r="E2" s="167" t="n">
        <v>8.89473684210526</v>
      </c>
    </row>
    <row r="3" ht="15" customHeight="1" s="108">
      <c r="A3" s="167" t="n">
        <v>9.42105263157895</v>
      </c>
      <c r="B3" s="167" t="n">
        <v>9.05263157894737</v>
      </c>
      <c r="C3" s="167" t="n">
        <v>8.631578947368419</v>
      </c>
      <c r="D3" s="167" t="n">
        <v>9.263157894736841</v>
      </c>
      <c r="E3" s="167" t="n">
        <v>8.47368421052632</v>
      </c>
    </row>
    <row r="4" ht="15" customHeight="1" s="108">
      <c r="A4" s="167" t="n">
        <v>9.631578947368419</v>
      </c>
      <c r="B4" s="167" t="n">
        <v>9.52631578947369</v>
      </c>
      <c r="C4" s="167" t="n">
        <v>9.05263157894737</v>
      </c>
      <c r="D4" s="167" t="n">
        <v>9.631578947368419</v>
      </c>
      <c r="E4" s="167" t="n">
        <v>8.684210526315789</v>
      </c>
    </row>
    <row r="5" ht="15" customHeight="1" s="108">
      <c r="A5" s="167" t="n">
        <v>9.42105263157895</v>
      </c>
      <c r="B5" s="167" t="n">
        <v>9.10526315789474</v>
      </c>
      <c r="C5" s="167" t="n">
        <v>8.684210526315789</v>
      </c>
      <c r="D5" s="167" t="n">
        <v>9.47368421052632</v>
      </c>
      <c r="E5" s="167" t="n">
        <v>8.842105263157899</v>
      </c>
    </row>
    <row r="6" ht="15" customHeight="1" s="108">
      <c r="A6" s="168" t="n">
        <v>9.47368421052632</v>
      </c>
      <c r="B6" s="167" t="n">
        <v>9.10526315789474</v>
      </c>
      <c r="C6" s="167" t="n">
        <v>8.736842105263159</v>
      </c>
      <c r="D6" s="167" t="n">
        <v>9.315789473684211</v>
      </c>
      <c r="E6" s="167" t="n">
        <v>8.57894736842105</v>
      </c>
    </row>
    <row r="7" ht="15" customHeight="1" s="108">
      <c r="A7" s="167" t="n">
        <v>9.263157894736841</v>
      </c>
      <c r="B7" s="167" t="n">
        <v>9.157894736842101</v>
      </c>
      <c r="C7" s="167" t="n"/>
      <c r="D7" s="167" t="n">
        <v>9.263157894736841</v>
      </c>
      <c r="E7" s="167" t="n"/>
    </row>
    <row r="8" ht="15" customHeight="1" s="108">
      <c r="A8" s="167" t="n">
        <v>9.315789473684211</v>
      </c>
      <c r="B8" s="167" t="n">
        <v>8.94736842105263</v>
      </c>
      <c r="C8" s="167" t="n"/>
      <c r="D8" s="167" t="n">
        <v>9.210526315789471</v>
      </c>
      <c r="E8" s="167" t="n"/>
    </row>
    <row r="9" ht="15" customHeight="1" s="108">
      <c r="A9" s="167" t="n">
        <v>9.631578947368419</v>
      </c>
      <c r="B9" s="167" t="n">
        <v>9.315789473684211</v>
      </c>
      <c r="C9" s="167" t="n"/>
      <c r="D9" s="167" t="n">
        <v>9.57894736842105</v>
      </c>
      <c r="E9" s="167" t="n"/>
    </row>
    <row r="10" ht="15" customHeight="1" s="108">
      <c r="A10" s="167" t="n">
        <v>9.315789473684211</v>
      </c>
      <c r="B10" s="167" t="n">
        <v>9</v>
      </c>
      <c r="C10" s="167" t="n"/>
      <c r="D10" s="167" t="n">
        <v>9.368421052631581</v>
      </c>
      <c r="E10" s="167" t="n"/>
    </row>
    <row r="11" ht="15" customHeight="1" s="108">
      <c r="A11" s="168" t="n">
        <v>9.47368421052632</v>
      </c>
      <c r="B11" s="167" t="n">
        <v>9.05263157894737</v>
      </c>
      <c r="C11" s="167" t="n"/>
      <c r="D11" s="167" t="n">
        <v>9.315789473684211</v>
      </c>
      <c r="E11" s="167" t="n"/>
    </row>
    <row r="12" ht="15" customHeight="1" s="108">
      <c r="A12" s="167" t="n">
        <v>9.315789473684211</v>
      </c>
      <c r="B12" s="167" t="n">
        <v>9.10526315789474</v>
      </c>
      <c r="C12" s="169" t="n"/>
      <c r="D12" s="167" t="n"/>
      <c r="E12" s="167" t="n"/>
    </row>
    <row r="13" ht="15" customHeight="1" s="108">
      <c r="A13" s="167" t="n">
        <v>9.368421052631581</v>
      </c>
      <c r="B13" s="167" t="n">
        <v>8.94736842105263</v>
      </c>
      <c r="C13" s="169" t="n"/>
      <c r="D13" s="167" t="n"/>
      <c r="E13" s="167" t="n"/>
    </row>
    <row r="14" ht="15" customHeight="1" s="108">
      <c r="A14" s="167" t="n">
        <v>9.52631578947369</v>
      </c>
      <c r="B14" s="167" t="n">
        <v>9.52631578947369</v>
      </c>
      <c r="C14" s="169" t="n"/>
      <c r="D14" s="167" t="n"/>
      <c r="E14" s="167" t="n"/>
    </row>
    <row r="15" ht="15" customHeight="1" s="108">
      <c r="A15" s="167" t="n">
        <v>9.263157894736841</v>
      </c>
      <c r="B15" s="167" t="n">
        <v>9</v>
      </c>
      <c r="C15" s="169" t="n"/>
      <c r="D15" s="167" t="n"/>
      <c r="E15" s="167" t="n"/>
    </row>
    <row r="16" ht="15" customHeight="1" s="108">
      <c r="A16" s="167" t="n">
        <v>9.52631578947369</v>
      </c>
      <c r="B16" s="167" t="n">
        <v>9.10526315789474</v>
      </c>
      <c r="C16" s="169" t="n"/>
      <c r="D16" s="167" t="n"/>
      <c r="E16" s="167" t="n"/>
    </row>
    <row r="17" ht="19.5" customHeight="1" s="108">
      <c r="A17" s="170">
        <f>AVERAGE(A2:A16)</f>
        <v/>
      </c>
      <c r="B17" s="170">
        <f>AVERAGE(B2:B16)</f>
        <v/>
      </c>
      <c r="C17" s="170">
        <f>AVERAGE(C2:C16)</f>
        <v/>
      </c>
      <c r="D17" s="170">
        <f>AVERAGE(D2:D16)</f>
        <v/>
      </c>
      <c r="E17" s="170">
        <f>AVERAGE(E2:E16)</f>
        <v/>
      </c>
    </row>
    <row r="19" ht="15" customHeight="1" s="108">
      <c r="C19" s="171"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filterMode="0">
    <outlinePr summaryBelow="1" summaryRight="1"/>
    <pageSetUpPr fitToPage="0"/>
  </sheetPr>
  <dimension ref="A1:X73"/>
  <sheetViews>
    <sheetView showFormulas="0" showGridLines="1" showRowColHeaders="1" showZeros="1" rightToLeft="0" tabSelected="0" showOutlineSymbols="1" defaultGridColor="1" view="normal" topLeftCell="A1" colorId="64" zoomScale="80" zoomScaleNormal="80" zoomScalePageLayoutView="100" workbookViewId="0">
      <selection pane="topLeft" activeCell="D6" activeCellId="0" sqref="D6"/>
    </sheetView>
  </sheetViews>
  <sheetFormatPr baseColWidth="8" defaultColWidth="9.12890625" defaultRowHeight="15" zeroHeight="0" outlineLevelRow="0"/>
  <cols>
    <col width="16.12" customWidth="1" style="107" min="1" max="1"/>
    <col width="39" customWidth="1" style="107" min="2" max="2"/>
    <col width="53" customWidth="1" style="107" min="3" max="3"/>
    <col width="11.38" customWidth="1" style="107" min="4" max="22"/>
    <col width="7.88" customWidth="1" style="107" min="23" max="23"/>
    <col width="18.25" customWidth="1" style="107" min="24" max="24"/>
  </cols>
  <sheetData>
    <row r="1" ht="106.5" customHeight="1" s="108">
      <c r="A1" s="172" t="n"/>
      <c r="B1" s="173" t="n"/>
      <c r="C1" s="173" t="n"/>
      <c r="D1" s="173" t="n"/>
      <c r="E1" s="173" t="n"/>
      <c r="F1" s="173" t="n"/>
      <c r="G1" s="173" t="n"/>
      <c r="H1" s="173" t="n"/>
      <c r="I1" s="173" t="n"/>
      <c r="J1" s="173" t="n"/>
      <c r="K1" s="173" t="n"/>
      <c r="L1" s="173" t="n"/>
      <c r="M1" s="173" t="n"/>
      <c r="N1" s="173" t="n"/>
      <c r="O1" s="173" t="n"/>
      <c r="P1" s="173" t="n"/>
      <c r="Q1" s="173" t="n"/>
      <c r="R1" s="173" t="n"/>
      <c r="S1" s="173" t="n"/>
      <c r="T1" s="173" t="n"/>
      <c r="U1" s="173" t="n"/>
      <c r="V1" s="173" t="n"/>
      <c r="W1" s="173" t="n"/>
      <c r="X1" s="174" t="n"/>
    </row>
    <row r="2" ht="26.25" customHeight="1" s="108">
      <c r="A2" s="113" t="n"/>
      <c r="B2" s="113" t="inlineStr">
        <is>
          <t xml:space="preserve">Program </t>
        </is>
      </c>
      <c r="C2" s="114" t="inlineStr">
        <is>
          <t>Certified Reliability Engineer - 30  (Date: 06th to 11th July-2026 ) Module - 1</t>
        </is>
      </c>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6" t="n"/>
    </row>
    <row r="3" ht="18" customHeight="1" s="108">
      <c r="A3" s="117" t="n"/>
      <c r="B3" s="117" t="inlineStr">
        <is>
          <t>Feedback Form</t>
        </is>
      </c>
      <c r="C3" s="118" t="inlineStr">
        <is>
          <t xml:space="preserve">Please rank the parameters on 10 to 1 scale </t>
        </is>
      </c>
      <c r="D3" s="119" t="inlineStr">
        <is>
          <t>8 to 10 - Excellent ; 6 to 7 - V Good ; 4 to 5 - Good ; 2 to 3- Satisfactory ; 1 - Unsatisfactory</t>
        </is>
      </c>
      <c r="E3" s="115" t="n"/>
      <c r="F3" s="115" t="n"/>
      <c r="G3" s="115" t="n"/>
      <c r="H3" s="115" t="n"/>
      <c r="I3" s="115" t="n"/>
      <c r="J3" s="115" t="n"/>
      <c r="K3" s="115" t="n"/>
      <c r="L3" s="115" t="n"/>
      <c r="M3" s="115" t="n"/>
      <c r="N3" s="115" t="n"/>
      <c r="O3" s="115" t="n"/>
      <c r="P3" s="115" t="n"/>
      <c r="Q3" s="115" t="n"/>
      <c r="R3" s="115" t="n"/>
      <c r="S3" s="115" t="n"/>
      <c r="T3" s="115" t="n"/>
      <c r="U3" s="115" t="n"/>
      <c r="V3" s="115" t="n"/>
      <c r="W3" s="115" t="n"/>
      <c r="X3" s="116" t="n"/>
    </row>
    <row r="4" ht="18" customHeight="1" s="108">
      <c r="A4" s="175" t="n"/>
      <c r="B4" s="175" t="n"/>
      <c r="C4" s="176" t="n"/>
      <c r="D4" s="177" t="n"/>
      <c r="E4" s="178" t="n"/>
      <c r="F4" s="178" t="n"/>
      <c r="G4" s="178" t="n"/>
      <c r="H4" s="178" t="n"/>
      <c r="I4" s="178" t="n"/>
      <c r="J4" s="178" t="n"/>
      <c r="K4" s="178" t="n"/>
      <c r="L4" s="178" t="n"/>
      <c r="M4" s="178" t="n"/>
      <c r="N4" s="178" t="n"/>
      <c r="O4" s="178" t="n"/>
      <c r="P4" s="178" t="n"/>
      <c r="Q4" s="178" t="n"/>
      <c r="R4" s="178" t="n"/>
      <c r="S4" s="178" t="n"/>
      <c r="T4" s="178" t="n"/>
      <c r="U4" s="178" t="n"/>
      <c r="V4" s="178" t="n"/>
      <c r="W4" s="179" t="n"/>
      <c r="X4" s="180" t="n"/>
    </row>
    <row r="5" ht="18" customHeight="1" s="108">
      <c r="A5" s="120" t="inlineStr">
        <is>
          <t>Date</t>
        </is>
      </c>
      <c r="B5" s="120" t="inlineStr">
        <is>
          <t>KA / Subject
(Name of Faculty)</t>
        </is>
      </c>
      <c r="C5" s="121" t="inlineStr">
        <is>
          <t>Criteria</t>
        </is>
      </c>
      <c r="D5" s="122" t="inlineStr">
        <is>
          <t>STAFF NO</t>
        </is>
      </c>
      <c r="E5" s="115" t="n"/>
      <c r="F5" s="115" t="n"/>
      <c r="G5" s="115" t="n"/>
      <c r="H5" s="115" t="n"/>
      <c r="I5" s="115" t="n"/>
      <c r="J5" s="115" t="n"/>
      <c r="K5" s="115" t="n"/>
      <c r="L5" s="115" t="n"/>
      <c r="M5" s="115" t="n"/>
      <c r="N5" s="115" t="n"/>
      <c r="O5" s="115" t="n"/>
      <c r="P5" s="115" t="n"/>
      <c r="Q5" s="115" t="n"/>
      <c r="R5" s="115" t="n"/>
      <c r="S5" s="115" t="n"/>
      <c r="T5" s="115" t="n"/>
      <c r="U5" s="115" t="n"/>
      <c r="V5" s="116" t="n"/>
      <c r="W5" s="123" t="inlineStr">
        <is>
          <t>Avg</t>
        </is>
      </c>
      <c r="X5" s="121" t="inlineStr">
        <is>
          <t>Remarks</t>
        </is>
      </c>
    </row>
    <row r="6" ht="36" customHeight="1" s="108">
      <c r="A6" s="124" t="n"/>
      <c r="B6" s="124" t="n"/>
      <c r="C6" s="124" t="n"/>
      <c r="D6" s="125" t="n">
        <v>214387</v>
      </c>
      <c r="E6" s="125" t="n">
        <v>218036</v>
      </c>
      <c r="F6" s="125" t="n">
        <v>216452</v>
      </c>
      <c r="G6" s="125" t="n">
        <v>217770</v>
      </c>
      <c r="H6" s="125" t="n">
        <v>216676</v>
      </c>
      <c r="I6" s="125" t="n">
        <v>218033</v>
      </c>
      <c r="J6" s="125" t="n">
        <v>217755</v>
      </c>
      <c r="K6" s="125" t="n">
        <v>212842</v>
      </c>
      <c r="L6" s="125" t="n">
        <v>214004</v>
      </c>
      <c r="M6" s="125" t="n">
        <v>216322</v>
      </c>
      <c r="N6" s="125" t="n">
        <v>218114</v>
      </c>
      <c r="O6" s="125" t="inlineStr">
        <is>
          <t>502104N</t>
        </is>
      </c>
      <c r="P6" s="125" t="n">
        <v>217689</v>
      </c>
      <c r="Q6" s="125" t="inlineStr">
        <is>
          <t>502099-K</t>
        </is>
      </c>
      <c r="R6" s="125" t="n">
        <v>216448</v>
      </c>
      <c r="S6" s="125" t="n">
        <v>216168</v>
      </c>
      <c r="T6" s="125" t="n">
        <v>218399</v>
      </c>
      <c r="U6" s="125" t="n">
        <v>216442</v>
      </c>
      <c r="V6" s="125" t="n">
        <v>216449</v>
      </c>
      <c r="W6" s="124" t="n"/>
      <c r="X6" s="124" t="n"/>
    </row>
    <row r="7" ht="19.5" customHeight="1" s="108">
      <c r="A7" s="126" t="inlineStr">
        <is>
          <t>DAY 1
(20-07-2026)</t>
        </is>
      </c>
      <c r="B7" s="127" t="inlineStr">
        <is>
          <t>Reliability Planning 
(Mr Umesh Ghimirey, 
Sr.DGM (QM/BAE))</t>
        </is>
      </c>
      <c r="C7" s="128" t="inlineStr">
        <is>
          <t>Course Contenet</t>
        </is>
      </c>
      <c r="D7" s="132" t="n">
        <v>9</v>
      </c>
      <c r="E7" s="132" t="n">
        <v>10</v>
      </c>
      <c r="F7" s="132" t="n">
        <v>10</v>
      </c>
      <c r="G7" s="132" t="n">
        <v>10</v>
      </c>
      <c r="H7" s="132" t="n">
        <v>10</v>
      </c>
      <c r="I7" s="132" t="n">
        <v>10</v>
      </c>
      <c r="J7" s="132" t="n">
        <v>10</v>
      </c>
      <c r="K7" s="132" t="n">
        <v>10</v>
      </c>
      <c r="L7" s="132" t="n">
        <v>10</v>
      </c>
      <c r="M7" s="132" t="n">
        <v>10</v>
      </c>
      <c r="N7" s="132" t="n">
        <v>9</v>
      </c>
      <c r="O7" s="132" t="n">
        <v>10</v>
      </c>
      <c r="P7" s="132" t="n">
        <v>10</v>
      </c>
      <c r="Q7" s="132" t="n">
        <v>10</v>
      </c>
      <c r="R7" s="132" t="n">
        <v>10</v>
      </c>
      <c r="S7" s="132" t="n">
        <v>8</v>
      </c>
      <c r="T7" s="132" t="n">
        <v>8</v>
      </c>
      <c r="U7" s="132" t="n">
        <v>9</v>
      </c>
      <c r="V7" s="132" t="n">
        <v>9</v>
      </c>
      <c r="W7" s="130">
        <f>AVERAGE(D7:V7)</f>
        <v/>
      </c>
      <c r="X7" s="118">
        <f>IF(W7&gt;=8,"Excellent",IF(W7&gt;=6,"Very good",IF(W7&gt;=4,"Good",IF(W7&gt;=2,"Satisfactory",IF(W7&gt;=1,"Unsatisfactory")))))</f>
        <v/>
      </c>
    </row>
    <row r="8" ht="19.5" customHeight="1" s="108">
      <c r="A8" s="131" t="n"/>
      <c r="B8" s="131" t="n"/>
      <c r="C8" s="128" t="inlineStr">
        <is>
          <t>Structure &amp; Flow</t>
        </is>
      </c>
      <c r="D8" s="132" t="n">
        <v>9</v>
      </c>
      <c r="E8" s="132" t="n">
        <v>10</v>
      </c>
      <c r="F8" s="132" t="n">
        <v>10</v>
      </c>
      <c r="G8" s="132" t="n">
        <v>10</v>
      </c>
      <c r="H8" s="132" t="n">
        <v>10</v>
      </c>
      <c r="I8" s="132" t="n">
        <v>10</v>
      </c>
      <c r="J8" s="132" t="n">
        <v>10</v>
      </c>
      <c r="K8" s="132" t="n">
        <v>10</v>
      </c>
      <c r="L8" s="132" t="n">
        <v>9</v>
      </c>
      <c r="M8" s="132" t="n">
        <v>10</v>
      </c>
      <c r="N8" s="132" t="n">
        <v>9</v>
      </c>
      <c r="O8" s="132" t="n">
        <v>10</v>
      </c>
      <c r="P8" s="132" t="n">
        <v>9</v>
      </c>
      <c r="Q8" s="132" t="n">
        <v>10</v>
      </c>
      <c r="R8" s="132" t="n">
        <v>10</v>
      </c>
      <c r="S8" s="132" t="n">
        <v>8</v>
      </c>
      <c r="T8" s="132" t="n">
        <v>8</v>
      </c>
      <c r="U8" s="132" t="n">
        <v>9</v>
      </c>
      <c r="V8" s="132" t="n">
        <v>10</v>
      </c>
      <c r="W8" s="130">
        <f>AVERAGE(D8:V8)</f>
        <v/>
      </c>
      <c r="X8" s="118">
        <f>IF(W8&gt;=8,"Excellent",IF(W8&gt;=6,"Very good",IF(W8&gt;=4,"Good",IF(W8&gt;=2,"Satisfactory",IF(W8&gt;=1,"Unsatisfactory")))))</f>
        <v/>
      </c>
    </row>
    <row r="9" ht="19.5" customHeight="1" s="108">
      <c r="A9" s="131" t="n"/>
      <c r="B9" s="131" t="n"/>
      <c r="C9" s="128" t="inlineStr">
        <is>
          <t>Time Management</t>
        </is>
      </c>
      <c r="D9" s="132" t="n">
        <v>9</v>
      </c>
      <c r="E9" s="132" t="n">
        <v>10</v>
      </c>
      <c r="F9" s="132" t="n">
        <v>10</v>
      </c>
      <c r="G9" s="132" t="n">
        <v>9</v>
      </c>
      <c r="H9" s="132" t="n">
        <v>10</v>
      </c>
      <c r="I9" s="132" t="n">
        <v>10</v>
      </c>
      <c r="J9" s="132" t="n">
        <v>10</v>
      </c>
      <c r="K9" s="132" t="n">
        <v>10</v>
      </c>
      <c r="L9" s="132" t="n">
        <v>9</v>
      </c>
      <c r="M9" s="132" t="n">
        <v>10</v>
      </c>
      <c r="N9" s="132" t="n">
        <v>9</v>
      </c>
      <c r="O9" s="132" t="n">
        <v>10</v>
      </c>
      <c r="P9" s="132" t="n">
        <v>9</v>
      </c>
      <c r="Q9" s="132" t="n">
        <v>10</v>
      </c>
      <c r="R9" s="132" t="n">
        <v>10</v>
      </c>
      <c r="S9" s="132" t="n">
        <v>8</v>
      </c>
      <c r="T9" s="132" t="n">
        <v>8</v>
      </c>
      <c r="U9" s="132" t="n">
        <v>9</v>
      </c>
      <c r="V9" s="132" t="n">
        <v>10</v>
      </c>
      <c r="W9" s="130">
        <f>AVERAGE(D9:V9)</f>
        <v/>
      </c>
      <c r="X9" s="118">
        <f>IF(W9&gt;=8,"Excellent",IF(W9&gt;=6,"Very good",IF(W9&gt;=4,"Good",IF(W9&gt;=2,"Satisfactory",IF(W9&gt;=1,"Unsatisfactory")))))</f>
        <v/>
      </c>
    </row>
    <row r="10" ht="19.5" customHeight="1" s="108">
      <c r="A10" s="131" t="n"/>
      <c r="B10" s="131" t="n"/>
      <c r="C10" s="125" t="inlineStr">
        <is>
          <t>Faculty Delivery</t>
        </is>
      </c>
      <c r="D10" s="132" t="n">
        <v>9</v>
      </c>
      <c r="E10" s="125" t="n">
        <v>10</v>
      </c>
      <c r="F10" s="125" t="n">
        <v>10</v>
      </c>
      <c r="G10" s="132" t="n">
        <v>9</v>
      </c>
      <c r="H10" s="125" t="n">
        <v>10</v>
      </c>
      <c r="I10" s="132" t="n">
        <v>10</v>
      </c>
      <c r="J10" s="132" t="n">
        <v>10</v>
      </c>
      <c r="K10" s="125" t="n">
        <v>10</v>
      </c>
      <c r="L10" s="125" t="n">
        <v>9</v>
      </c>
      <c r="M10" s="125" t="n">
        <v>10</v>
      </c>
      <c r="N10" s="132" t="n">
        <v>9</v>
      </c>
      <c r="O10" s="132" t="n">
        <v>10</v>
      </c>
      <c r="P10" s="132" t="n">
        <v>10</v>
      </c>
      <c r="Q10" s="132" t="n">
        <v>10</v>
      </c>
      <c r="R10" s="132" t="n">
        <v>10</v>
      </c>
      <c r="S10" s="132" t="n">
        <v>8</v>
      </c>
      <c r="T10" s="132" t="n">
        <v>9</v>
      </c>
      <c r="U10" s="132" t="n">
        <v>9</v>
      </c>
      <c r="V10" s="132" t="n">
        <v>10</v>
      </c>
      <c r="W10" s="130">
        <f>AVERAGE(D10:V10)</f>
        <v/>
      </c>
      <c r="X10" s="118">
        <f>IF(W10&gt;=8,"Excellent",IF(W10&gt;=6,"Very good",IF(W10&gt;=4,"Good",IF(W10&gt;=2,"Satisfactory",IF(W10&gt;=1,"Unsatisfactory")))))</f>
        <v/>
      </c>
    </row>
    <row r="11" ht="19.5" customHeight="1" s="108">
      <c r="A11" s="131" t="n"/>
      <c r="B11" s="124" t="n"/>
      <c r="C11" s="125" t="inlineStr">
        <is>
          <t>Faculty Participants Interaction</t>
        </is>
      </c>
      <c r="D11" s="132" t="n">
        <v>9</v>
      </c>
      <c r="E11" s="132" t="n">
        <v>10</v>
      </c>
      <c r="F11" s="132" t="n">
        <v>10</v>
      </c>
      <c r="G11" s="132" t="n">
        <v>9</v>
      </c>
      <c r="H11" s="132" t="n">
        <v>10</v>
      </c>
      <c r="I11" s="132" t="n">
        <v>10</v>
      </c>
      <c r="J11" s="132" t="n">
        <v>10</v>
      </c>
      <c r="K11" s="132" t="n">
        <v>10</v>
      </c>
      <c r="L11" s="132" t="n">
        <v>9</v>
      </c>
      <c r="M11" s="132" t="n">
        <v>10</v>
      </c>
      <c r="N11" s="132" t="n">
        <v>9</v>
      </c>
      <c r="O11" s="132" t="n">
        <v>10</v>
      </c>
      <c r="P11" s="132" t="n">
        <v>9</v>
      </c>
      <c r="Q11" s="132" t="n">
        <v>10</v>
      </c>
      <c r="R11" s="132" t="n">
        <v>10</v>
      </c>
      <c r="S11" s="132" t="n">
        <v>8</v>
      </c>
      <c r="T11" s="132" t="n">
        <v>9</v>
      </c>
      <c r="U11" s="132" t="n">
        <v>9</v>
      </c>
      <c r="V11" s="132" t="n">
        <v>10</v>
      </c>
      <c r="W11" s="130">
        <f>AVERAGE(D11:V11)</f>
        <v/>
      </c>
      <c r="X11" s="118">
        <f>IF(W11&gt;=8,"Excellent",IF(W11&gt;=6,"Very good",IF(W11&gt;=4,"Good",IF(W11&gt;=2,"Satisfactory",IF(W11&gt;=1,"Unsatisfactory")))))</f>
        <v/>
      </c>
    </row>
    <row r="12" ht="19.5" customHeight="1" s="108">
      <c r="A12" s="131" t="n"/>
      <c r="B12" s="127" t="inlineStr">
        <is>
          <t>Reliability Testing 
(Mr Surendra Singh
DGM (QM/BAE))</t>
        </is>
      </c>
      <c r="C12" s="128" t="inlineStr">
        <is>
          <t>Course Contenet</t>
        </is>
      </c>
      <c r="D12" s="132" t="n">
        <v>8</v>
      </c>
      <c r="E12" s="132" t="n">
        <v>10</v>
      </c>
      <c r="F12" s="132" t="n">
        <v>10</v>
      </c>
      <c r="G12" s="132" t="n">
        <v>10</v>
      </c>
      <c r="H12" s="132" t="n">
        <v>10</v>
      </c>
      <c r="I12" s="132" t="n">
        <v>10</v>
      </c>
      <c r="J12" s="132" t="n">
        <v>10</v>
      </c>
      <c r="K12" s="132" t="n">
        <v>10</v>
      </c>
      <c r="L12" s="132" t="n">
        <v>9</v>
      </c>
      <c r="M12" s="132" t="n">
        <v>10</v>
      </c>
      <c r="N12" s="132" t="n">
        <v>8</v>
      </c>
      <c r="O12" s="132" t="n">
        <v>10</v>
      </c>
      <c r="P12" s="132" t="n">
        <v>9</v>
      </c>
      <c r="Q12" s="132" t="n">
        <v>8</v>
      </c>
      <c r="R12" s="132" t="n">
        <v>10</v>
      </c>
      <c r="S12" s="132" t="n">
        <v>8</v>
      </c>
      <c r="T12" s="132" t="n">
        <v>9</v>
      </c>
      <c r="U12" s="132" t="n">
        <v>9</v>
      </c>
      <c r="V12" s="132" t="n">
        <v>10</v>
      </c>
      <c r="W12" s="130">
        <f>AVERAGE(D12:V12)</f>
        <v/>
      </c>
      <c r="X12" s="118">
        <f>IF(W12&gt;=8,"Excellent",IF(W12&gt;=6,"Very good",IF(W12&gt;=4,"Good",IF(W12&gt;=2,"Satisfactory",IF(W12&gt;=1,"Unsatisfactory")))))</f>
        <v/>
      </c>
    </row>
    <row r="13" ht="19.5" customHeight="1" s="108">
      <c r="A13" s="131" t="n"/>
      <c r="B13" s="131" t="n"/>
      <c r="C13" s="128" t="inlineStr">
        <is>
          <t>Structure &amp; Flow</t>
        </is>
      </c>
      <c r="D13" s="132" t="n">
        <v>7</v>
      </c>
      <c r="E13" s="132" t="n">
        <v>10</v>
      </c>
      <c r="F13" s="132" t="n">
        <v>10</v>
      </c>
      <c r="G13" s="132" t="n">
        <v>9</v>
      </c>
      <c r="H13" s="132" t="n">
        <v>9</v>
      </c>
      <c r="I13" s="132" t="n">
        <v>10</v>
      </c>
      <c r="J13" s="132" t="n">
        <v>10</v>
      </c>
      <c r="K13" s="132" t="n">
        <v>10</v>
      </c>
      <c r="L13" s="132" t="n">
        <v>9</v>
      </c>
      <c r="M13" s="132" t="n">
        <v>10</v>
      </c>
      <c r="N13" s="132" t="n">
        <v>8</v>
      </c>
      <c r="O13" s="132" t="n">
        <v>10</v>
      </c>
      <c r="P13" s="132" t="n">
        <v>9</v>
      </c>
      <c r="Q13" s="132" t="n">
        <v>8</v>
      </c>
      <c r="R13" s="132" t="n">
        <v>10</v>
      </c>
      <c r="S13" s="132" t="n">
        <v>8</v>
      </c>
      <c r="T13" s="132" t="n">
        <v>9</v>
      </c>
      <c r="U13" s="132" t="n">
        <v>9</v>
      </c>
      <c r="V13" s="132" t="n">
        <v>10</v>
      </c>
      <c r="W13" s="130">
        <f>AVERAGE(D13:V13)</f>
        <v/>
      </c>
      <c r="X13" s="118">
        <f>IF(W13&gt;=8,"Excellent",IF(W13&gt;=6,"Very good",IF(W13&gt;=4,"Good",IF(W13&gt;=2,"Satisfactory",IF(W13&gt;=1,"Unsatisfactory")))))</f>
        <v/>
      </c>
    </row>
    <row r="14" ht="19.5" customHeight="1" s="108">
      <c r="A14" s="131" t="n"/>
      <c r="B14" s="131" t="n"/>
      <c r="C14" s="128" t="inlineStr">
        <is>
          <t>Time Management</t>
        </is>
      </c>
      <c r="D14" s="132" t="n">
        <v>6</v>
      </c>
      <c r="E14" s="132" t="n">
        <v>9</v>
      </c>
      <c r="F14" s="132" t="n">
        <v>10</v>
      </c>
      <c r="G14" s="132" t="n">
        <v>9</v>
      </c>
      <c r="H14" s="132" t="n">
        <v>10</v>
      </c>
      <c r="I14" s="132" t="n">
        <v>10</v>
      </c>
      <c r="J14" s="132" t="n">
        <v>10</v>
      </c>
      <c r="K14" s="132" t="n">
        <v>10</v>
      </c>
      <c r="L14" s="132" t="n">
        <v>10</v>
      </c>
      <c r="M14" s="132" t="n">
        <v>10</v>
      </c>
      <c r="N14" s="132" t="n">
        <v>8</v>
      </c>
      <c r="O14" s="132" t="n">
        <v>10</v>
      </c>
      <c r="P14" s="132" t="n">
        <v>9</v>
      </c>
      <c r="Q14" s="132" t="n">
        <v>8</v>
      </c>
      <c r="R14" s="132" t="n">
        <v>10</v>
      </c>
      <c r="S14" s="132" t="n">
        <v>8</v>
      </c>
      <c r="T14" s="132" t="n">
        <v>9</v>
      </c>
      <c r="U14" s="132" t="n">
        <v>9</v>
      </c>
      <c r="V14" s="132" t="n">
        <v>10</v>
      </c>
      <c r="W14" s="130">
        <f>AVERAGE(D14:V14)</f>
        <v/>
      </c>
      <c r="X14" s="118">
        <f>IF(W14&gt;=8,"Excellent",IF(W14&gt;=6,"Very good",IF(W14&gt;=4,"Good",IF(W14&gt;=2,"Satisfactory",IF(W14&gt;=1,"Unsatisfactory")))))</f>
        <v/>
      </c>
    </row>
    <row r="15" ht="19.5" customHeight="1" s="108">
      <c r="A15" s="131" t="n"/>
      <c r="B15" s="131" t="n"/>
      <c r="C15" s="125" t="inlineStr">
        <is>
          <t>Faculty Delivery</t>
        </is>
      </c>
      <c r="D15" s="132" t="n">
        <v>3</v>
      </c>
      <c r="E15" s="125" t="n">
        <v>10</v>
      </c>
      <c r="F15" s="125" t="n">
        <v>10</v>
      </c>
      <c r="G15" s="132" t="n">
        <v>9</v>
      </c>
      <c r="H15" s="125" t="n">
        <v>9</v>
      </c>
      <c r="I15" s="132" t="n">
        <v>10</v>
      </c>
      <c r="J15" s="132" t="n">
        <v>10</v>
      </c>
      <c r="K15" s="125" t="n">
        <v>10</v>
      </c>
      <c r="L15" s="125" t="n">
        <v>9</v>
      </c>
      <c r="M15" s="125" t="n">
        <v>10</v>
      </c>
      <c r="N15" s="132" t="n">
        <v>8</v>
      </c>
      <c r="O15" s="132" t="n">
        <v>10</v>
      </c>
      <c r="P15" s="132" t="n">
        <v>10</v>
      </c>
      <c r="Q15" s="132" t="n">
        <v>8</v>
      </c>
      <c r="R15" s="132" t="n">
        <v>10</v>
      </c>
      <c r="S15" s="132" t="n">
        <v>8</v>
      </c>
      <c r="T15" s="132" t="n">
        <v>9</v>
      </c>
      <c r="U15" s="132" t="n">
        <v>9</v>
      </c>
      <c r="V15" s="132" t="n">
        <v>10</v>
      </c>
      <c r="W15" s="130">
        <f>AVERAGE(D15:V15)</f>
        <v/>
      </c>
      <c r="X15" s="118">
        <f>IF(W15&gt;=8,"Excellent",IF(W15&gt;=6,"Very good",IF(W15&gt;=4,"Good",IF(W15&gt;=2,"Satisfactory",IF(W15&gt;=1,"Unsatisfactory")))))</f>
        <v/>
      </c>
    </row>
    <row r="16" ht="19.5" customHeight="1" s="108">
      <c r="A16" s="124" t="n"/>
      <c r="B16" s="124" t="n"/>
      <c r="C16" s="125" t="inlineStr">
        <is>
          <t>Faculty Participants Interaction</t>
        </is>
      </c>
      <c r="D16" s="132" t="n">
        <v>3</v>
      </c>
      <c r="E16" s="132" t="n">
        <v>10</v>
      </c>
      <c r="F16" s="132" t="n">
        <v>10</v>
      </c>
      <c r="G16" s="132" t="n">
        <v>10</v>
      </c>
      <c r="H16" s="132" t="n">
        <v>10</v>
      </c>
      <c r="I16" s="132" t="n">
        <v>9</v>
      </c>
      <c r="J16" s="132" t="n">
        <v>10</v>
      </c>
      <c r="K16" s="132" t="n">
        <v>9</v>
      </c>
      <c r="L16" s="132" t="n">
        <v>9</v>
      </c>
      <c r="M16" s="132" t="n">
        <v>10</v>
      </c>
      <c r="N16" s="132" t="n">
        <v>8</v>
      </c>
      <c r="O16" s="132" t="n">
        <v>10</v>
      </c>
      <c r="P16" s="132" t="n">
        <v>9</v>
      </c>
      <c r="Q16" s="132" t="n">
        <v>8</v>
      </c>
      <c r="R16" s="132" t="n">
        <v>10</v>
      </c>
      <c r="S16" s="132" t="n">
        <v>8</v>
      </c>
      <c r="T16" s="132" t="n">
        <v>9</v>
      </c>
      <c r="U16" s="132" t="n">
        <v>9</v>
      </c>
      <c r="V16" s="132" t="n">
        <v>10</v>
      </c>
      <c r="W16" s="130">
        <f>AVERAGE(D16:V16)</f>
        <v/>
      </c>
      <c r="X16" s="118">
        <f>IF(W16&gt;=8,"Excellent",IF(W16&gt;=6,"Very good",IF(W16&gt;=4,"Good",IF(W16&gt;=2,"Satisfactory",IF(W16&gt;=1,"Unsatisfactory")))))</f>
        <v/>
      </c>
    </row>
    <row r="17" ht="19.5" customHeight="1" s="108">
      <c r="A17" s="126" t="inlineStr">
        <is>
          <t>DAY 2
(21-07-2026)</t>
        </is>
      </c>
      <c r="B17" s="127" t="inlineStr">
        <is>
          <t>Reliability Testing  
(Mr Umesh Ghimirey, 
Sr.DGM (QM/BAE))</t>
        </is>
      </c>
      <c r="C17" s="128" t="inlineStr">
        <is>
          <t>Course Contenet</t>
        </is>
      </c>
      <c r="D17" s="132" t="n">
        <v>8</v>
      </c>
      <c r="E17" s="132" t="n">
        <v>10</v>
      </c>
      <c r="F17" s="132" t="n">
        <v>10</v>
      </c>
      <c r="G17" s="132" t="n">
        <v>10</v>
      </c>
      <c r="H17" s="132" t="n">
        <v>10</v>
      </c>
      <c r="I17" s="132" t="n">
        <v>10</v>
      </c>
      <c r="J17" s="132" t="n">
        <v>10</v>
      </c>
      <c r="K17" s="132" t="n">
        <v>10</v>
      </c>
      <c r="L17" s="132" t="n">
        <v>10</v>
      </c>
      <c r="M17" s="132" t="n">
        <v>10</v>
      </c>
      <c r="N17" s="132" t="n">
        <v>8</v>
      </c>
      <c r="O17" s="132" t="n">
        <v>10</v>
      </c>
      <c r="P17" s="132" t="n">
        <v>9</v>
      </c>
      <c r="Q17" s="132" t="n">
        <v>9</v>
      </c>
      <c r="R17" s="132" t="n">
        <v>10</v>
      </c>
      <c r="S17" s="132" t="n">
        <v>8</v>
      </c>
      <c r="T17" s="132" t="n">
        <v>9</v>
      </c>
      <c r="U17" s="132" t="n">
        <v>10</v>
      </c>
      <c r="V17" s="132" t="n">
        <v>10</v>
      </c>
      <c r="W17" s="130">
        <f>AVERAGE(D17:V17)</f>
        <v/>
      </c>
      <c r="X17" s="118">
        <f>IF(W17&gt;=8,"Excellent",IF(W17&gt;=6,"Very good",IF(W17&gt;=4,"Good",IF(W17&gt;=2,"Satisfactory",IF(W17&gt;=1,"Unsatisfactory")))))</f>
        <v/>
      </c>
    </row>
    <row r="18" ht="19.5" customHeight="1" s="108">
      <c r="A18" s="131" t="n"/>
      <c r="B18" s="131" t="n"/>
      <c r="C18" s="128" t="inlineStr">
        <is>
          <t>Structure &amp; Flow</t>
        </is>
      </c>
      <c r="D18" s="132" t="n">
        <v>6</v>
      </c>
      <c r="E18" s="132" t="n">
        <v>10</v>
      </c>
      <c r="F18" s="132" t="n">
        <v>10</v>
      </c>
      <c r="G18" s="132" t="n">
        <v>9</v>
      </c>
      <c r="H18" s="132" t="n">
        <v>10</v>
      </c>
      <c r="I18" s="132" t="n">
        <v>10</v>
      </c>
      <c r="J18" s="132" t="n">
        <v>10</v>
      </c>
      <c r="K18" s="132" t="n">
        <v>9</v>
      </c>
      <c r="L18" s="132" t="n">
        <v>9</v>
      </c>
      <c r="M18" s="132" t="n">
        <v>10</v>
      </c>
      <c r="N18" s="132" t="n">
        <v>8</v>
      </c>
      <c r="O18" s="132" t="n">
        <v>10</v>
      </c>
      <c r="P18" s="132" t="n">
        <v>9</v>
      </c>
      <c r="Q18" s="132" t="n">
        <v>9</v>
      </c>
      <c r="R18" s="132" t="n">
        <v>10</v>
      </c>
      <c r="S18" s="132" t="n">
        <v>8</v>
      </c>
      <c r="T18" s="132" t="n">
        <v>9</v>
      </c>
      <c r="U18" s="132" t="n">
        <v>10</v>
      </c>
      <c r="V18" s="132" t="n">
        <v>9</v>
      </c>
      <c r="W18" s="130">
        <f>AVERAGE(D18:V18)</f>
        <v/>
      </c>
      <c r="X18" s="118">
        <f>IF(W18&gt;=8,"Excellent",IF(W18&gt;=6,"Very good",IF(W18&gt;=4,"Good",IF(W18&gt;=2,"Satisfactory",IF(W18&gt;=1,"Unsatisfactory")))))</f>
        <v/>
      </c>
    </row>
    <row r="19" ht="19.5" customHeight="1" s="108">
      <c r="A19" s="131" t="n"/>
      <c r="B19" s="131" t="n"/>
      <c r="C19" s="128" t="inlineStr">
        <is>
          <t>Time Management</t>
        </is>
      </c>
      <c r="D19" s="132" t="n">
        <v>7</v>
      </c>
      <c r="E19" s="132" t="n">
        <v>10</v>
      </c>
      <c r="F19" s="132" t="n">
        <v>10</v>
      </c>
      <c r="G19" s="132" t="n">
        <v>9</v>
      </c>
      <c r="H19" s="132" t="n">
        <v>10</v>
      </c>
      <c r="I19" s="132" t="n">
        <v>10</v>
      </c>
      <c r="J19" s="132" t="n">
        <v>10</v>
      </c>
      <c r="K19" s="132" t="n">
        <v>9</v>
      </c>
      <c r="L19" s="132" t="n">
        <v>9</v>
      </c>
      <c r="M19" s="132" t="n">
        <v>10</v>
      </c>
      <c r="N19" s="132" t="n">
        <v>8</v>
      </c>
      <c r="O19" s="132" t="n">
        <v>10</v>
      </c>
      <c r="P19" s="132" t="n">
        <v>9</v>
      </c>
      <c r="Q19" s="132" t="n">
        <v>9</v>
      </c>
      <c r="R19" s="132" t="n">
        <v>10</v>
      </c>
      <c r="S19" s="132" t="n">
        <v>8</v>
      </c>
      <c r="T19" s="132" t="n">
        <v>9</v>
      </c>
      <c r="U19" s="132" t="n">
        <v>10</v>
      </c>
      <c r="V19" s="132" t="n">
        <v>10</v>
      </c>
      <c r="W19" s="130">
        <f>AVERAGE(D19:V19)</f>
        <v/>
      </c>
      <c r="X19" s="118">
        <f>IF(W19&gt;=8,"Excellent",IF(W19&gt;=6,"Very good",IF(W19&gt;=4,"Good",IF(W19&gt;=2,"Satisfactory",IF(W19&gt;=1,"Unsatisfactory")))))</f>
        <v/>
      </c>
    </row>
    <row r="20" ht="19.5" customHeight="1" s="108">
      <c r="A20" s="131" t="n"/>
      <c r="B20" s="131" t="n"/>
      <c r="C20" s="125" t="inlineStr">
        <is>
          <t>Faculty Delivery</t>
        </is>
      </c>
      <c r="D20" s="132" t="n">
        <v>3</v>
      </c>
      <c r="E20" s="125" t="n">
        <v>10</v>
      </c>
      <c r="F20" s="132" t="n">
        <v>10</v>
      </c>
      <c r="G20" s="132" t="n">
        <v>9</v>
      </c>
      <c r="H20" s="125" t="n">
        <v>10</v>
      </c>
      <c r="I20" s="132" t="n">
        <v>10</v>
      </c>
      <c r="J20" s="132" t="n">
        <v>10</v>
      </c>
      <c r="K20" s="125" t="n">
        <v>10</v>
      </c>
      <c r="L20" s="125" t="n">
        <v>9</v>
      </c>
      <c r="M20" s="125" t="n">
        <v>10</v>
      </c>
      <c r="N20" s="132" t="n">
        <v>8</v>
      </c>
      <c r="O20" s="132" t="n">
        <v>10</v>
      </c>
      <c r="P20" s="132" t="n">
        <v>10</v>
      </c>
      <c r="Q20" s="132" t="n">
        <v>9</v>
      </c>
      <c r="R20" s="132" t="n">
        <v>10</v>
      </c>
      <c r="S20" s="132" t="n">
        <v>8</v>
      </c>
      <c r="T20" s="132" t="n">
        <v>9</v>
      </c>
      <c r="U20" s="132" t="n">
        <v>10</v>
      </c>
      <c r="V20" s="132" t="n">
        <v>9</v>
      </c>
      <c r="W20" s="130">
        <f>AVERAGE(D20:V20)</f>
        <v/>
      </c>
      <c r="X20" s="118">
        <f>IF(W20&gt;=8,"Excellent",IF(W20&gt;=6,"Very good",IF(W20&gt;=4,"Good",IF(W20&gt;=2,"Satisfactory",IF(W20&gt;=1,"Unsatisfactory")))))</f>
        <v/>
      </c>
    </row>
    <row r="21" ht="19.5" customHeight="1" s="108">
      <c r="A21" s="131" t="n"/>
      <c r="B21" s="124" t="n"/>
      <c r="C21" s="125" t="inlineStr">
        <is>
          <t>Faculty Participants Interaction</t>
        </is>
      </c>
      <c r="D21" s="132" t="n">
        <v>8</v>
      </c>
      <c r="E21" s="132" t="n">
        <v>9</v>
      </c>
      <c r="F21" s="132" t="n">
        <v>10</v>
      </c>
      <c r="G21" s="132" t="n">
        <v>9</v>
      </c>
      <c r="H21" s="132" t="n">
        <v>10</v>
      </c>
      <c r="I21" s="132" t="n">
        <v>9</v>
      </c>
      <c r="J21" s="132" t="n">
        <v>10</v>
      </c>
      <c r="K21" s="132" t="n">
        <v>9</v>
      </c>
      <c r="L21" s="132" t="n">
        <v>9</v>
      </c>
      <c r="M21" s="132" t="n">
        <v>10</v>
      </c>
      <c r="N21" s="132" t="n">
        <v>8</v>
      </c>
      <c r="O21" s="132" t="n">
        <v>10</v>
      </c>
      <c r="P21" s="132" t="n">
        <v>9</v>
      </c>
      <c r="Q21" s="132" t="n">
        <v>9</v>
      </c>
      <c r="R21" s="132" t="n">
        <v>10</v>
      </c>
      <c r="S21" s="132" t="n">
        <v>8</v>
      </c>
      <c r="T21" s="132" t="n">
        <v>9</v>
      </c>
      <c r="U21" s="132" t="n">
        <v>10</v>
      </c>
      <c r="V21" s="132" t="n">
        <v>10</v>
      </c>
      <c r="W21" s="130">
        <f>AVERAGE(D21:V21)</f>
        <v/>
      </c>
      <c r="X21" s="118">
        <f>IF(W21&gt;=8,"Excellent",IF(W21&gt;=6,"Very good",IF(W21&gt;=4,"Good",IF(W21&gt;=2,"Satisfactory",IF(W21&gt;=1,"Unsatisfactory")))))</f>
        <v/>
      </c>
    </row>
    <row r="22" ht="19.5" customHeight="1" s="108">
      <c r="A22" s="131" t="n"/>
      <c r="B22" s="127" t="inlineStr">
        <is>
          <t>Reliability Testing 
(Mr Narendra S,
MGR (BG/PDIC))</t>
        </is>
      </c>
      <c r="C22" s="128" t="inlineStr">
        <is>
          <t>Course Contenet</t>
        </is>
      </c>
      <c r="D22" s="132" t="n">
        <v>9</v>
      </c>
      <c r="E22" s="132" t="n">
        <v>10</v>
      </c>
      <c r="F22" s="132" t="n">
        <v>10</v>
      </c>
      <c r="G22" s="132" t="n">
        <v>10</v>
      </c>
      <c r="H22" s="132" t="n">
        <v>9</v>
      </c>
      <c r="I22" s="132" t="n">
        <v>10</v>
      </c>
      <c r="J22" s="132" t="n">
        <v>10</v>
      </c>
      <c r="K22" s="132" t="n">
        <v>10</v>
      </c>
      <c r="L22" s="132" t="n">
        <v>9</v>
      </c>
      <c r="M22" s="132" t="n">
        <v>10</v>
      </c>
      <c r="N22" s="132" t="n">
        <v>9</v>
      </c>
      <c r="O22" s="132" t="n">
        <v>10</v>
      </c>
      <c r="P22" s="132" t="n">
        <v>9</v>
      </c>
      <c r="Q22" s="132" t="n">
        <v>8</v>
      </c>
      <c r="R22" s="132" t="n">
        <v>10</v>
      </c>
      <c r="S22" s="132" t="n">
        <v>8</v>
      </c>
      <c r="T22" s="132" t="n">
        <v>9</v>
      </c>
      <c r="U22" s="132" t="n">
        <v>10</v>
      </c>
      <c r="V22" s="132" t="n">
        <v>10</v>
      </c>
      <c r="W22" s="130">
        <f>AVERAGE(D22:V22)</f>
        <v/>
      </c>
      <c r="X22" s="118">
        <f>IF(W22&gt;=8,"Excellent",IF(W22&gt;=6,"Very good",IF(W22&gt;=4,"Good",IF(W22&gt;=2,"Satisfactory",IF(W22&gt;=1,"Unsatisfactory")))))</f>
        <v/>
      </c>
    </row>
    <row r="23" ht="19.5" customHeight="1" s="108">
      <c r="A23" s="131" t="n"/>
      <c r="B23" s="131" t="n"/>
      <c r="C23" s="128" t="inlineStr">
        <is>
          <t>Structure &amp; Flow</t>
        </is>
      </c>
      <c r="D23" s="132" t="n">
        <v>9</v>
      </c>
      <c r="E23" s="132" t="n">
        <v>10</v>
      </c>
      <c r="F23" s="132" t="n">
        <v>9</v>
      </c>
      <c r="G23" s="132" t="n">
        <v>9</v>
      </c>
      <c r="H23" s="132" t="n">
        <v>9</v>
      </c>
      <c r="I23" s="132" t="n">
        <v>10</v>
      </c>
      <c r="J23" s="132" t="n">
        <v>10</v>
      </c>
      <c r="K23" s="132" t="n">
        <v>9</v>
      </c>
      <c r="L23" s="132" t="n">
        <v>9</v>
      </c>
      <c r="M23" s="132" t="n">
        <v>10</v>
      </c>
      <c r="N23" s="132" t="n">
        <v>9</v>
      </c>
      <c r="O23" s="132" t="n">
        <v>10</v>
      </c>
      <c r="P23" s="132" t="n">
        <v>9</v>
      </c>
      <c r="Q23" s="132" t="n">
        <v>8</v>
      </c>
      <c r="R23" s="132" t="n">
        <v>10</v>
      </c>
      <c r="S23" s="132" t="n">
        <v>8</v>
      </c>
      <c r="T23" s="132" t="n">
        <v>9</v>
      </c>
      <c r="U23" s="132" t="n">
        <v>9</v>
      </c>
      <c r="V23" s="132" t="n">
        <v>9</v>
      </c>
      <c r="W23" s="130">
        <f>AVERAGE(D23:V23)</f>
        <v/>
      </c>
      <c r="X23" s="118">
        <f>IF(W23&gt;=8,"Excellent",IF(W23&gt;=6,"Very good",IF(W23&gt;=4,"Good",IF(W23&gt;=2,"Satisfactory",IF(W23&gt;=1,"Unsatisfactory")))))</f>
        <v/>
      </c>
    </row>
    <row r="24" ht="19.5" customHeight="1" s="108">
      <c r="A24" s="131" t="n"/>
      <c r="B24" s="131" t="n"/>
      <c r="C24" s="128" t="inlineStr">
        <is>
          <t>Time Management</t>
        </is>
      </c>
      <c r="D24" s="132" t="n">
        <v>9</v>
      </c>
      <c r="E24" s="132" t="n">
        <v>10</v>
      </c>
      <c r="F24" s="132" t="n">
        <v>9</v>
      </c>
      <c r="G24" s="132" t="n">
        <v>8</v>
      </c>
      <c r="H24" s="132" t="n">
        <v>9</v>
      </c>
      <c r="I24" s="132" t="n">
        <v>10</v>
      </c>
      <c r="J24" s="132" t="n">
        <v>10</v>
      </c>
      <c r="K24" s="132" t="n">
        <v>9</v>
      </c>
      <c r="L24" s="132" t="n">
        <v>10</v>
      </c>
      <c r="M24" s="132" t="n">
        <v>10</v>
      </c>
      <c r="N24" s="132" t="n">
        <v>9</v>
      </c>
      <c r="O24" s="132" t="n">
        <v>10</v>
      </c>
      <c r="P24" s="132" t="n">
        <v>9</v>
      </c>
      <c r="Q24" s="132" t="n">
        <v>8</v>
      </c>
      <c r="R24" s="132" t="n">
        <v>10</v>
      </c>
      <c r="S24" s="132" t="n">
        <v>8</v>
      </c>
      <c r="T24" s="132" t="n">
        <v>9</v>
      </c>
      <c r="U24" s="132" t="n">
        <v>10</v>
      </c>
      <c r="V24" s="132" t="n">
        <v>9</v>
      </c>
      <c r="W24" s="130">
        <f>AVERAGE(D24:V24)</f>
        <v/>
      </c>
      <c r="X24" s="118">
        <f>IF(W24&gt;=8,"Excellent",IF(W24&gt;=6,"Very good",IF(W24&gt;=4,"Good",IF(W24&gt;=2,"Satisfactory",IF(W24&gt;=1,"Unsatisfactory")))))</f>
        <v/>
      </c>
    </row>
    <row r="25" ht="19.5" customHeight="1" s="108">
      <c r="A25" s="131" t="n"/>
      <c r="B25" s="131" t="n"/>
      <c r="C25" s="125" t="inlineStr">
        <is>
          <t>Faculty Delivery</t>
        </is>
      </c>
      <c r="D25" s="132" t="n">
        <v>9</v>
      </c>
      <c r="E25" s="125" t="n">
        <v>10</v>
      </c>
      <c r="F25" s="132" t="n">
        <v>9</v>
      </c>
      <c r="G25" s="132" t="n">
        <v>9</v>
      </c>
      <c r="H25" s="125" t="n">
        <v>9</v>
      </c>
      <c r="I25" s="132" t="n">
        <v>10</v>
      </c>
      <c r="J25" s="132" t="n">
        <v>10</v>
      </c>
      <c r="K25" s="125" t="n">
        <v>9</v>
      </c>
      <c r="L25" s="125" t="n">
        <v>9</v>
      </c>
      <c r="M25" s="125" t="n">
        <v>10</v>
      </c>
      <c r="N25" s="132" t="n">
        <v>9</v>
      </c>
      <c r="O25" s="132" t="n">
        <v>10</v>
      </c>
      <c r="P25" s="132" t="n">
        <v>10</v>
      </c>
      <c r="Q25" s="132" t="n">
        <v>8</v>
      </c>
      <c r="R25" s="132" t="n">
        <v>10</v>
      </c>
      <c r="S25" s="132" t="n">
        <v>8</v>
      </c>
      <c r="T25" s="132" t="n">
        <v>9</v>
      </c>
      <c r="U25" s="132" t="n">
        <v>10</v>
      </c>
      <c r="V25" s="132" t="n">
        <v>10</v>
      </c>
      <c r="W25" s="130">
        <f>AVERAGE(D25:V25)</f>
        <v/>
      </c>
      <c r="X25" s="118">
        <f>IF(W25&gt;=8,"Excellent",IF(W25&gt;=6,"Very good",IF(W25&gt;=4,"Good",IF(W25&gt;=2,"Satisfactory",IF(W25&gt;=1,"Unsatisfactory")))))</f>
        <v/>
      </c>
    </row>
    <row r="26" ht="19.5" customHeight="1" s="108">
      <c r="A26" s="124" t="n"/>
      <c r="B26" s="124" t="n"/>
      <c r="C26" s="125" t="inlineStr">
        <is>
          <t>Faculty Participants Interaction</t>
        </is>
      </c>
      <c r="D26" s="132" t="n">
        <v>9</v>
      </c>
      <c r="E26" s="132" t="n">
        <v>10</v>
      </c>
      <c r="F26" s="132" t="n">
        <v>9</v>
      </c>
      <c r="G26" s="132" t="n">
        <v>9</v>
      </c>
      <c r="H26" s="132" t="n">
        <v>9</v>
      </c>
      <c r="I26" s="132" t="n">
        <v>10</v>
      </c>
      <c r="J26" s="132" t="n">
        <v>10</v>
      </c>
      <c r="K26" s="132" t="n">
        <v>9</v>
      </c>
      <c r="L26" s="132" t="n">
        <v>9</v>
      </c>
      <c r="M26" s="132" t="n">
        <v>10</v>
      </c>
      <c r="N26" s="132" t="n">
        <v>9</v>
      </c>
      <c r="O26" s="132" t="n">
        <v>10</v>
      </c>
      <c r="P26" s="132" t="n">
        <v>9</v>
      </c>
      <c r="Q26" s="132" t="n">
        <v>8</v>
      </c>
      <c r="R26" s="132" t="n">
        <v>10</v>
      </c>
      <c r="S26" s="132" t="n">
        <v>8</v>
      </c>
      <c r="T26" s="132" t="n">
        <v>9</v>
      </c>
      <c r="U26" s="132" t="n">
        <v>10</v>
      </c>
      <c r="V26" s="132" t="n">
        <v>10</v>
      </c>
      <c r="W26" s="130">
        <f>AVERAGE(D26:V26)</f>
        <v/>
      </c>
      <c r="X26" s="118">
        <f>IF(W26&gt;=8,"Excellent",IF(W26&gt;=6,"Very good",IF(W26&gt;=4,"Good",IF(W26&gt;=2,"Satisfactory",IF(W26&gt;=1,"Unsatisfactory")))))</f>
        <v/>
      </c>
    </row>
    <row r="27" ht="19.5" customHeight="1" s="108">
      <c r="A27" s="126" t="inlineStr">
        <is>
          <t>DAY 3
(22-07-2026)</t>
        </is>
      </c>
      <c r="B27" s="127" t="inlineStr">
        <is>
          <t>Reliability Modelling  
(Mr Umesh Ghimirey, 
Sr.DGM (QM/BAE))</t>
        </is>
      </c>
      <c r="C27" s="128" t="inlineStr">
        <is>
          <t>Course Contenet</t>
        </is>
      </c>
      <c r="D27" s="132" t="n">
        <v>9</v>
      </c>
      <c r="E27" s="132" t="n">
        <v>10</v>
      </c>
      <c r="F27" s="132" t="n">
        <v>10</v>
      </c>
      <c r="G27" s="132" t="n">
        <v>10</v>
      </c>
      <c r="H27" s="132" t="n">
        <v>10</v>
      </c>
      <c r="I27" s="132" t="n">
        <v>10</v>
      </c>
      <c r="J27" s="132" t="n">
        <v>10</v>
      </c>
      <c r="K27" s="132" t="n">
        <v>10</v>
      </c>
      <c r="L27" s="132" t="n">
        <v>9</v>
      </c>
      <c r="M27" s="132" t="n">
        <v>10</v>
      </c>
      <c r="N27" s="132" t="n">
        <v>9</v>
      </c>
      <c r="O27" s="132" t="n">
        <v>10</v>
      </c>
      <c r="P27" s="132" t="n">
        <v>10</v>
      </c>
      <c r="Q27" s="132" t="n">
        <v>10</v>
      </c>
      <c r="R27" s="132" t="n">
        <v>10</v>
      </c>
      <c r="S27" s="132" t="n">
        <v>8</v>
      </c>
      <c r="T27" s="132" t="n">
        <v>8</v>
      </c>
      <c r="U27" s="132" t="n">
        <v>10</v>
      </c>
      <c r="V27" s="132" t="n">
        <v>10</v>
      </c>
      <c r="W27" s="130">
        <f>AVERAGE(D27:V27)</f>
        <v/>
      </c>
      <c r="X27" s="118">
        <f>IF(W27&gt;=8,"Excellent",IF(W27&gt;=6,"Very good",IF(W27&gt;=4,"Good",IF(W27&gt;=2,"Satisfactory",IF(W27&gt;=1,"Unsatisfactory")))))</f>
        <v/>
      </c>
    </row>
    <row r="28" ht="19.5" customHeight="1" s="108">
      <c r="A28" s="131" t="n"/>
      <c r="B28" s="131" t="n"/>
      <c r="C28" s="128" t="inlineStr">
        <is>
          <t>Structure &amp; Flow</t>
        </is>
      </c>
      <c r="D28" s="132" t="n">
        <v>9</v>
      </c>
      <c r="E28" s="132" t="n">
        <v>10</v>
      </c>
      <c r="F28" s="132" t="n">
        <v>10</v>
      </c>
      <c r="G28" s="132" t="n">
        <v>10</v>
      </c>
      <c r="H28" s="132" t="n">
        <v>10</v>
      </c>
      <c r="I28" s="132" t="n">
        <v>10</v>
      </c>
      <c r="J28" s="132" t="n">
        <v>10</v>
      </c>
      <c r="K28" s="132" t="n">
        <v>10</v>
      </c>
      <c r="L28" s="132" t="n">
        <v>9</v>
      </c>
      <c r="M28" s="132" t="n">
        <v>10</v>
      </c>
      <c r="N28" s="132" t="n">
        <v>9</v>
      </c>
      <c r="O28" s="132" t="n">
        <v>10</v>
      </c>
      <c r="P28" s="132" t="n">
        <v>9</v>
      </c>
      <c r="Q28" s="132" t="n">
        <v>10</v>
      </c>
      <c r="R28" s="132" t="n">
        <v>10</v>
      </c>
      <c r="S28" s="132" t="n">
        <v>8</v>
      </c>
      <c r="T28" s="132" t="n">
        <v>8</v>
      </c>
      <c r="U28" s="132" t="n">
        <v>10</v>
      </c>
      <c r="V28" s="132" t="n">
        <v>10</v>
      </c>
      <c r="W28" s="130">
        <f>AVERAGE(D28:V28)</f>
        <v/>
      </c>
      <c r="X28" s="118">
        <f>IF(W28&gt;=8,"Excellent",IF(W28&gt;=6,"Very good",IF(W28&gt;=4,"Good",IF(W28&gt;=2,"Satisfactory",IF(W28&gt;=1,"Unsatisfactory")))))</f>
        <v/>
      </c>
    </row>
    <row r="29" ht="19.5" customHeight="1" s="108">
      <c r="A29" s="131" t="n"/>
      <c r="B29" s="131" t="n"/>
      <c r="C29" s="128" t="inlineStr">
        <is>
          <t>Time Management</t>
        </is>
      </c>
      <c r="D29" s="132" t="n">
        <v>9</v>
      </c>
      <c r="E29" s="132" t="n">
        <v>9</v>
      </c>
      <c r="F29" s="132" t="n">
        <v>10</v>
      </c>
      <c r="G29" s="132" t="n">
        <v>10</v>
      </c>
      <c r="H29" s="132" t="n">
        <v>10</v>
      </c>
      <c r="I29" s="132" t="n">
        <v>10</v>
      </c>
      <c r="J29" s="132" t="n">
        <v>10</v>
      </c>
      <c r="K29" s="132" t="n">
        <v>10</v>
      </c>
      <c r="L29" s="132" t="n">
        <v>10</v>
      </c>
      <c r="M29" s="132" t="n">
        <v>10</v>
      </c>
      <c r="N29" s="132" t="n">
        <v>9</v>
      </c>
      <c r="O29" s="132" t="n">
        <v>10</v>
      </c>
      <c r="P29" s="132" t="n">
        <v>10</v>
      </c>
      <c r="Q29" s="132" t="n">
        <v>10</v>
      </c>
      <c r="R29" s="132" t="n">
        <v>10</v>
      </c>
      <c r="S29" s="132" t="n">
        <v>8</v>
      </c>
      <c r="T29" s="132" t="n">
        <v>7</v>
      </c>
      <c r="U29" s="132" t="n">
        <v>10</v>
      </c>
      <c r="V29" s="132" t="n">
        <v>10</v>
      </c>
      <c r="W29" s="130">
        <f>AVERAGE(D29:V29)</f>
        <v/>
      </c>
      <c r="X29" s="118">
        <f>IF(W29&gt;=8,"Excellent",IF(W29&gt;=6,"Very good",IF(W29&gt;=4,"Good",IF(W29&gt;=2,"Satisfactory",IF(W29&gt;=1,"Unsatisfactory")))))</f>
        <v/>
      </c>
    </row>
    <row r="30" ht="19.5" customHeight="1" s="108">
      <c r="A30" s="131" t="n"/>
      <c r="B30" s="131" t="n"/>
      <c r="C30" s="125" t="inlineStr">
        <is>
          <t>Faculty Delivery</t>
        </is>
      </c>
      <c r="D30" s="132" t="n">
        <v>9</v>
      </c>
      <c r="E30" s="125" t="n">
        <v>10</v>
      </c>
      <c r="F30" s="132" t="n">
        <v>10</v>
      </c>
      <c r="G30" s="132" t="n">
        <v>10</v>
      </c>
      <c r="H30" s="125" t="n">
        <v>10</v>
      </c>
      <c r="I30" s="132" t="n">
        <v>10</v>
      </c>
      <c r="J30" s="132" t="n">
        <v>10</v>
      </c>
      <c r="K30" s="125" t="n">
        <v>10</v>
      </c>
      <c r="L30" s="132" t="n">
        <v>9</v>
      </c>
      <c r="M30" s="125" t="n">
        <v>10</v>
      </c>
      <c r="N30" s="132" t="n">
        <v>9</v>
      </c>
      <c r="O30" s="132" t="n">
        <v>10</v>
      </c>
      <c r="P30" s="132" t="n">
        <v>10</v>
      </c>
      <c r="Q30" s="132" t="n">
        <v>10</v>
      </c>
      <c r="R30" s="132" t="n">
        <v>10</v>
      </c>
      <c r="S30" s="132" t="n">
        <v>8</v>
      </c>
      <c r="T30" s="132" t="n">
        <v>8</v>
      </c>
      <c r="U30" s="132" t="n">
        <v>10</v>
      </c>
      <c r="V30" s="132" t="n">
        <v>10</v>
      </c>
      <c r="W30" s="130">
        <f>AVERAGE(D30:V30)</f>
        <v/>
      </c>
      <c r="X30" s="118">
        <f>IF(W30&gt;=8,"Excellent",IF(W30&gt;=6,"Very good",IF(W30&gt;=4,"Good",IF(W30&gt;=2,"Satisfactory",IF(W30&gt;=1,"Unsatisfactory")))))</f>
        <v/>
      </c>
    </row>
    <row r="31" ht="20.25" customHeight="1" s="108">
      <c r="A31" s="131" t="n"/>
      <c r="B31" s="124" t="n"/>
      <c r="C31" s="125" t="inlineStr">
        <is>
          <t>Faculty Participants Interaction</t>
        </is>
      </c>
      <c r="D31" s="132" t="n">
        <v>9</v>
      </c>
      <c r="E31" s="132" t="n">
        <v>10</v>
      </c>
      <c r="F31" s="132" t="n">
        <v>10</v>
      </c>
      <c r="G31" s="132" t="n">
        <v>10</v>
      </c>
      <c r="H31" s="132" t="n">
        <v>10</v>
      </c>
      <c r="I31" s="132" t="n">
        <v>10</v>
      </c>
      <c r="J31" s="132" t="n">
        <v>10</v>
      </c>
      <c r="K31" s="132" t="n">
        <v>10</v>
      </c>
      <c r="L31" s="132" t="n">
        <v>9</v>
      </c>
      <c r="M31" s="132" t="n">
        <v>10</v>
      </c>
      <c r="N31" s="132" t="n">
        <v>9</v>
      </c>
      <c r="O31" s="132" t="n">
        <v>10</v>
      </c>
      <c r="P31" s="132" t="n">
        <v>10</v>
      </c>
      <c r="Q31" s="132" t="n">
        <v>10</v>
      </c>
      <c r="R31" s="132" t="n">
        <v>10</v>
      </c>
      <c r="S31" s="132" t="n">
        <v>8</v>
      </c>
      <c r="T31" s="132" t="n">
        <v>9</v>
      </c>
      <c r="U31" s="132" t="n">
        <v>10</v>
      </c>
      <c r="V31" s="132" t="n">
        <v>10</v>
      </c>
      <c r="W31" s="130">
        <f>AVERAGE(D31:V31)</f>
        <v/>
      </c>
      <c r="X31" s="118">
        <f>IF(W31&gt;=8,"Excellent",IF(W31&gt;=6,"Very good",IF(W31&gt;=4,"Good",IF(W31&gt;=2,"Satisfactory",IF(W31&gt;=1,"Unsatisfactory")))))</f>
        <v/>
      </c>
    </row>
    <row r="32" ht="20.25" customHeight="1" s="108">
      <c r="A32" s="131" t="n"/>
      <c r="B32" s="127" t="inlineStr">
        <is>
          <t>Quiz on CRE
(Mr Umesh Ghimirey, 
Sr.DGM (QM/BAE))</t>
        </is>
      </c>
      <c r="C32" s="181" t="inlineStr">
        <is>
          <t>Relevance of the Quiz to the Topics</t>
        </is>
      </c>
      <c r="D32" s="132" t="n">
        <v>10</v>
      </c>
      <c r="E32" s="132" t="n">
        <v>10</v>
      </c>
      <c r="F32" s="132" t="n">
        <v>10</v>
      </c>
      <c r="G32" s="132" t="n">
        <v>10</v>
      </c>
      <c r="H32" s="132" t="n">
        <v>10</v>
      </c>
      <c r="I32" s="132" t="n">
        <v>10</v>
      </c>
      <c r="J32" s="132" t="n">
        <v>10</v>
      </c>
      <c r="K32" s="132" t="n">
        <v>10</v>
      </c>
      <c r="L32" s="132" t="n">
        <v>9</v>
      </c>
      <c r="M32" s="132" t="n">
        <v>10</v>
      </c>
      <c r="N32" s="132" t="n">
        <v>9</v>
      </c>
      <c r="O32" s="132" t="n">
        <v>10</v>
      </c>
      <c r="P32" s="132" t="n">
        <v>10</v>
      </c>
      <c r="Q32" s="132" t="n">
        <v>10</v>
      </c>
      <c r="R32" s="132" t="n">
        <v>10</v>
      </c>
      <c r="S32" s="132" t="n">
        <v>8</v>
      </c>
      <c r="T32" s="132" t="n">
        <v>10</v>
      </c>
      <c r="U32" s="132" t="n">
        <v>10</v>
      </c>
      <c r="V32" s="132" t="n">
        <v>9</v>
      </c>
      <c r="W32" s="130">
        <f>AVERAGE(D32:V32)</f>
        <v/>
      </c>
      <c r="X32" s="118">
        <f>IF(W32&gt;=8,"Excellent",IF(W32&gt;=6,"Very good",IF(W32&gt;=4,"Good",IF(W32&gt;=2,"Satisfactory",IF(W32&gt;=1,"Unsatisfactory")))))</f>
        <v/>
      </c>
    </row>
    <row r="33" ht="20.25" customHeight="1" s="108">
      <c r="A33" s="131" t="n"/>
      <c r="B33" s="131" t="n"/>
      <c r="C33" s="182" t="inlineStr">
        <is>
          <t>Innovativeness in Presentation Method</t>
        </is>
      </c>
      <c r="D33" s="132" t="n">
        <v>10</v>
      </c>
      <c r="E33" s="132" t="n">
        <v>10</v>
      </c>
      <c r="F33" s="132" t="n">
        <v>10</v>
      </c>
      <c r="G33" s="132" t="n">
        <v>10</v>
      </c>
      <c r="H33" s="132" t="n">
        <v>9</v>
      </c>
      <c r="I33" s="132" t="n">
        <v>10</v>
      </c>
      <c r="J33" s="132" t="n">
        <v>10</v>
      </c>
      <c r="K33" s="132" t="n">
        <v>10</v>
      </c>
      <c r="L33" s="132" t="n">
        <v>9</v>
      </c>
      <c r="M33" s="132" t="n">
        <v>10</v>
      </c>
      <c r="N33" s="132" t="n">
        <v>9</v>
      </c>
      <c r="O33" s="132" t="n">
        <v>10</v>
      </c>
      <c r="P33" s="132" t="n">
        <v>10</v>
      </c>
      <c r="Q33" s="132" t="n">
        <v>10</v>
      </c>
      <c r="R33" s="132" t="n">
        <v>10</v>
      </c>
      <c r="S33" s="132" t="n">
        <v>8</v>
      </c>
      <c r="T33" s="132" t="n">
        <v>10</v>
      </c>
      <c r="U33" s="132" t="n">
        <v>10</v>
      </c>
      <c r="V33" s="132" t="n">
        <v>9</v>
      </c>
      <c r="W33" s="130">
        <f>AVERAGE(D33:V33)</f>
        <v/>
      </c>
      <c r="X33" s="118">
        <f>IF(W33&gt;=8,"Excellent",IF(W33&gt;=6,"Very good",IF(W33&gt;=4,"Good",IF(W33&gt;=2,"Satisfactory",IF(W33&gt;=1,"Unsatisfactory")))))</f>
        <v/>
      </c>
    </row>
    <row r="34" ht="20.25" customHeight="1" s="108">
      <c r="A34" s="131" t="n"/>
      <c r="B34" s="131" t="n"/>
      <c r="C34" s="183" t="inlineStr">
        <is>
          <t>Quiz Master's Effectiveness</t>
        </is>
      </c>
      <c r="D34" s="132" t="n">
        <v>10</v>
      </c>
      <c r="E34" s="132" t="n">
        <v>10</v>
      </c>
      <c r="F34" s="132" t="n">
        <v>10</v>
      </c>
      <c r="G34" s="132" t="n">
        <v>10</v>
      </c>
      <c r="H34" s="132" t="n">
        <v>9</v>
      </c>
      <c r="I34" s="132" t="n">
        <v>10</v>
      </c>
      <c r="J34" s="132" t="n">
        <v>10</v>
      </c>
      <c r="K34" s="132" t="n">
        <v>10</v>
      </c>
      <c r="L34" s="132" t="n">
        <v>9</v>
      </c>
      <c r="M34" s="132" t="n">
        <v>10</v>
      </c>
      <c r="N34" s="132" t="n">
        <v>9</v>
      </c>
      <c r="O34" s="132" t="n">
        <v>10</v>
      </c>
      <c r="P34" s="132" t="n">
        <v>10</v>
      </c>
      <c r="Q34" s="132" t="n">
        <v>10</v>
      </c>
      <c r="R34" s="132" t="n">
        <v>10</v>
      </c>
      <c r="S34" s="132" t="n">
        <v>8</v>
      </c>
      <c r="T34" s="132" t="n">
        <v>10</v>
      </c>
      <c r="U34" s="132" t="n">
        <v>10</v>
      </c>
      <c r="V34" s="132" t="n">
        <v>9</v>
      </c>
      <c r="W34" s="130">
        <f>AVERAGE(D34:V34)</f>
        <v/>
      </c>
      <c r="X34" s="118">
        <f>IF(W34&gt;=8,"Excellent",IF(W34&gt;=6,"Very good",IF(W34&gt;=4,"Good",IF(W34&gt;=2,"Satisfactory",IF(W34&gt;=1,"Unsatisfactory")))))</f>
        <v/>
      </c>
    </row>
    <row r="35" ht="19.5" customHeight="1" s="108">
      <c r="A35" s="131" t="n"/>
      <c r="B35" s="124" t="n"/>
      <c r="C35" s="184" t="inlineStr">
        <is>
          <t>Overall impresion of the Quiz in Learning</t>
        </is>
      </c>
      <c r="D35" s="132" t="n">
        <v>10</v>
      </c>
      <c r="E35" s="132" t="n">
        <v>10</v>
      </c>
      <c r="F35" s="132" t="n">
        <v>10</v>
      </c>
      <c r="G35" s="132" t="n">
        <v>10</v>
      </c>
      <c r="H35" s="132" t="n">
        <v>9</v>
      </c>
      <c r="I35" s="132" t="n">
        <v>10</v>
      </c>
      <c r="J35" s="132" t="n">
        <v>10</v>
      </c>
      <c r="K35" s="132" t="n">
        <v>10</v>
      </c>
      <c r="L35" s="132" t="n">
        <v>9</v>
      </c>
      <c r="M35" s="132" t="n">
        <v>10</v>
      </c>
      <c r="N35" s="132" t="n">
        <v>9</v>
      </c>
      <c r="O35" s="132" t="n">
        <v>10</v>
      </c>
      <c r="P35" s="132" t="n">
        <v>10</v>
      </c>
      <c r="Q35" s="132" t="n">
        <v>10</v>
      </c>
      <c r="R35" s="132" t="n">
        <v>10</v>
      </c>
      <c r="S35" s="132" t="n">
        <v>8</v>
      </c>
      <c r="T35" s="132" t="n">
        <v>10</v>
      </c>
      <c r="U35" s="132" t="n">
        <v>10</v>
      </c>
      <c r="V35" s="132" t="n">
        <v>9</v>
      </c>
      <c r="W35" s="130">
        <f>AVERAGE(D35:V35)</f>
        <v/>
      </c>
      <c r="X35" s="118">
        <f>IF(W35&gt;=8,"Excellent",IF(W35&gt;=6,"Very good",IF(W35&gt;=4,"Good",IF(W35&gt;=2,"Satisfactory",IF(W35&gt;=1,"Unsatisfactory")))))</f>
        <v/>
      </c>
    </row>
    <row r="36" ht="19.5" customHeight="1" s="108">
      <c r="A36" s="131" t="n"/>
      <c r="B36" s="185" t="inlineStr">
        <is>
          <t>Failure Models
(Mr. Faiz Ahmed Siddiqui
(MGR/MILCOM))</t>
        </is>
      </c>
      <c r="C36" s="128" t="inlineStr">
        <is>
          <t>Course Contenet</t>
        </is>
      </c>
      <c r="D36" s="132" t="n">
        <v>2</v>
      </c>
      <c r="E36" s="132" t="n">
        <v>8</v>
      </c>
      <c r="F36" s="132" t="n">
        <v>6</v>
      </c>
      <c r="G36" s="132" t="n">
        <v>8</v>
      </c>
      <c r="H36" s="132" t="n">
        <v>9</v>
      </c>
      <c r="I36" s="132" t="n">
        <v>8</v>
      </c>
      <c r="J36" s="132" t="n">
        <v>6</v>
      </c>
      <c r="K36" s="132" t="n">
        <v>10</v>
      </c>
      <c r="L36" s="132" t="n">
        <v>8</v>
      </c>
      <c r="M36" s="132" t="n">
        <v>10</v>
      </c>
      <c r="N36" s="132" t="n">
        <v>5</v>
      </c>
      <c r="O36" s="132" t="n">
        <v>10</v>
      </c>
      <c r="P36" s="132" t="n">
        <v>7</v>
      </c>
      <c r="Q36" s="132" t="n">
        <v>5</v>
      </c>
      <c r="R36" s="132" t="n">
        <v>10</v>
      </c>
      <c r="S36" s="132" t="n">
        <v>8</v>
      </c>
      <c r="T36" s="132" t="n">
        <v>7</v>
      </c>
      <c r="U36" s="132" t="n">
        <v>7</v>
      </c>
      <c r="V36" s="132" t="n">
        <v>8</v>
      </c>
      <c r="W36" s="130">
        <f>AVERAGE(D36:V36)</f>
        <v/>
      </c>
      <c r="X36" s="118">
        <f>IF(W36&gt;=8,"Excellent",IF(W36&gt;=6,"Very good",IF(W36&gt;=4,"Good",IF(W36&gt;=2,"Satisfactory",IF(W36&gt;=1,"Unsatisfactory")))))</f>
        <v/>
      </c>
    </row>
    <row r="37" ht="19.5" customHeight="1" s="108">
      <c r="A37" s="131" t="n"/>
      <c r="B37" s="131" t="n"/>
      <c r="C37" s="128" t="inlineStr">
        <is>
          <t>Structure &amp; Flow</t>
        </is>
      </c>
      <c r="D37" s="132" t="n">
        <v>2</v>
      </c>
      <c r="E37" s="132" t="n">
        <v>8</v>
      </c>
      <c r="F37" s="132" t="n">
        <v>5</v>
      </c>
      <c r="G37" s="132" t="n">
        <v>8</v>
      </c>
      <c r="H37" s="132" t="n">
        <v>9</v>
      </c>
      <c r="I37" s="132" t="n">
        <v>7</v>
      </c>
      <c r="J37" s="132" t="n">
        <v>6</v>
      </c>
      <c r="K37" s="132" t="n">
        <v>9</v>
      </c>
      <c r="L37" s="132" t="n">
        <v>9</v>
      </c>
      <c r="M37" s="132" t="n">
        <v>9</v>
      </c>
      <c r="N37" s="132" t="n">
        <v>5</v>
      </c>
      <c r="O37" s="132" t="n">
        <v>8</v>
      </c>
      <c r="P37" s="132" t="n">
        <v>8</v>
      </c>
      <c r="Q37" s="132" t="n">
        <v>5</v>
      </c>
      <c r="R37" s="132" t="n">
        <v>10</v>
      </c>
      <c r="S37" s="132" t="n">
        <v>8</v>
      </c>
      <c r="T37" s="132" t="n">
        <v>7</v>
      </c>
      <c r="U37" s="132" t="n">
        <v>7</v>
      </c>
      <c r="V37" s="132" t="n">
        <v>8</v>
      </c>
      <c r="W37" s="130">
        <f>AVERAGE(D37:V37)</f>
        <v/>
      </c>
      <c r="X37" s="118">
        <f>IF(W37&gt;=8,"Excellent",IF(W37&gt;=6,"Very good",IF(W37&gt;=4,"Good",IF(W37&gt;=2,"Satisfactory",IF(W37&gt;=1,"Unsatisfactory")))))</f>
        <v/>
      </c>
    </row>
    <row r="38" ht="19.5" customHeight="1" s="108">
      <c r="A38" s="131" t="n"/>
      <c r="B38" s="131" t="n"/>
      <c r="C38" s="128" t="inlineStr">
        <is>
          <t>Time Management</t>
        </is>
      </c>
      <c r="D38" s="132" t="n">
        <v>2</v>
      </c>
      <c r="E38" s="126" t="n">
        <v>8</v>
      </c>
      <c r="F38" s="132" t="n">
        <v>4</v>
      </c>
      <c r="G38" s="132" t="n">
        <v>7</v>
      </c>
      <c r="H38" s="125" t="n">
        <v>8</v>
      </c>
      <c r="I38" s="132" t="n">
        <v>7</v>
      </c>
      <c r="J38" s="132" t="n">
        <v>6</v>
      </c>
      <c r="K38" s="125" t="n">
        <v>9</v>
      </c>
      <c r="L38" s="132" t="n">
        <v>9</v>
      </c>
      <c r="M38" s="132" t="n">
        <v>10</v>
      </c>
      <c r="N38" s="132" t="n">
        <v>5</v>
      </c>
      <c r="O38" s="132" t="n">
        <v>8</v>
      </c>
      <c r="P38" s="132" t="n">
        <v>9</v>
      </c>
      <c r="Q38" s="132" t="n">
        <v>5</v>
      </c>
      <c r="R38" s="132" t="n">
        <v>10</v>
      </c>
      <c r="S38" s="132" t="n">
        <v>8</v>
      </c>
      <c r="T38" s="132" t="n">
        <v>6</v>
      </c>
      <c r="U38" s="132" t="n">
        <v>7</v>
      </c>
      <c r="V38" s="132" t="n">
        <v>7</v>
      </c>
      <c r="W38" s="130">
        <f>AVERAGE(D38:V38)</f>
        <v/>
      </c>
      <c r="X38" s="118">
        <f>IF(W38&gt;=8,"Excellent",IF(W38&gt;=6,"Very good",IF(W38&gt;=4,"Good",IF(W38&gt;=2,"Satisfactory",IF(W38&gt;=1,"Unsatisfactory")))))</f>
        <v/>
      </c>
    </row>
    <row r="39" ht="19.5" customHeight="1" s="108">
      <c r="A39" s="131" t="n"/>
      <c r="B39" s="131" t="n"/>
      <c r="C39" s="125" t="inlineStr">
        <is>
          <t>Faculty Delivery</t>
        </is>
      </c>
      <c r="D39" s="132" t="n">
        <v>2</v>
      </c>
      <c r="E39" s="125" t="n">
        <v>9</v>
      </c>
      <c r="F39" s="132" t="n">
        <v>5</v>
      </c>
      <c r="G39" s="132" t="n">
        <v>7</v>
      </c>
      <c r="H39" s="125" t="n">
        <v>8</v>
      </c>
      <c r="I39" s="132" t="n">
        <v>10</v>
      </c>
      <c r="J39" s="132" t="n">
        <v>6</v>
      </c>
      <c r="K39" s="125" t="n">
        <v>10</v>
      </c>
      <c r="L39" s="132" t="n">
        <v>8</v>
      </c>
      <c r="M39" s="132" t="n">
        <v>10</v>
      </c>
      <c r="N39" s="132" t="n">
        <v>5</v>
      </c>
      <c r="O39" s="132" t="n">
        <v>8</v>
      </c>
      <c r="P39" s="132" t="n">
        <v>8</v>
      </c>
      <c r="Q39" s="132" t="n">
        <v>5</v>
      </c>
      <c r="R39" s="132" t="n">
        <v>10</v>
      </c>
      <c r="S39" s="132" t="n">
        <v>8</v>
      </c>
      <c r="T39" s="132" t="n">
        <v>7</v>
      </c>
      <c r="U39" s="132" t="n">
        <v>7</v>
      </c>
      <c r="V39" s="132" t="n">
        <v>8</v>
      </c>
      <c r="W39" s="130">
        <f>AVERAGE(D39:V39)</f>
        <v/>
      </c>
      <c r="X39" s="118">
        <f>IF(W39&gt;=8,"Excellent",IF(W39&gt;=6,"Very good",IF(W39&gt;=4,"Good",IF(W39&gt;=2,"Satisfactory",IF(W39&gt;=1,"Unsatisfactory")))))</f>
        <v/>
      </c>
    </row>
    <row r="40" ht="19.5" customHeight="1" s="108">
      <c r="A40" s="124" t="n"/>
      <c r="B40" s="124" t="n"/>
      <c r="C40" s="125" t="inlineStr">
        <is>
          <t>Faculty Participants Interaction</t>
        </is>
      </c>
      <c r="D40" s="132" t="n">
        <v>6</v>
      </c>
      <c r="E40" s="132" t="n">
        <v>10</v>
      </c>
      <c r="F40" s="132" t="n">
        <v>5</v>
      </c>
      <c r="G40" s="132" t="n">
        <v>8</v>
      </c>
      <c r="H40" s="132" t="n">
        <v>8</v>
      </c>
      <c r="I40" s="132" t="n">
        <v>10</v>
      </c>
      <c r="J40" s="132" t="n">
        <v>6</v>
      </c>
      <c r="K40" s="132" t="n">
        <v>9</v>
      </c>
      <c r="L40" s="132" t="n">
        <v>8</v>
      </c>
      <c r="M40" s="132" t="n">
        <v>10</v>
      </c>
      <c r="N40" s="132" t="n">
        <v>5</v>
      </c>
      <c r="O40" s="132" t="n">
        <v>9</v>
      </c>
      <c r="P40" s="132" t="n">
        <v>8</v>
      </c>
      <c r="Q40" s="132" t="n">
        <v>5</v>
      </c>
      <c r="R40" s="132" t="n">
        <v>10</v>
      </c>
      <c r="S40" s="132" t="n">
        <v>8</v>
      </c>
      <c r="T40" s="132" t="n">
        <v>8</v>
      </c>
      <c r="U40" s="132" t="n">
        <v>7</v>
      </c>
      <c r="V40" s="132" t="n">
        <v>8</v>
      </c>
      <c r="W40" s="130">
        <f>AVERAGE(D40:V40)</f>
        <v/>
      </c>
      <c r="X40" s="118">
        <f>IF(W40&gt;=8,"Excellent",IF(W40&gt;=6,"Very good",IF(W40&gt;=4,"Good",IF(W40&gt;=2,"Satisfactory",IF(W40&gt;=1,"Unsatisfactory")))))</f>
        <v/>
      </c>
    </row>
    <row r="41" ht="19.5" customHeight="1" s="108">
      <c r="A41" s="126" t="inlineStr">
        <is>
          <t>DAY 4
(23-07-2026)</t>
        </is>
      </c>
      <c r="B41" s="127" t="inlineStr">
        <is>
          <t>Reliability Prediction Methods, Design Prototype
(Mrs Pidathal Jahnavi
DM (BG/MS))</t>
        </is>
      </c>
      <c r="C41" s="128" t="inlineStr">
        <is>
          <t>Course Contenet</t>
        </is>
      </c>
      <c r="D41" s="132" t="n">
        <v>6</v>
      </c>
      <c r="E41" s="132" t="n">
        <v>9</v>
      </c>
      <c r="F41" s="132" t="n">
        <v>9</v>
      </c>
      <c r="G41" s="132" t="n">
        <v>10</v>
      </c>
      <c r="H41" s="132" t="n">
        <v>9</v>
      </c>
      <c r="I41" s="132" t="n">
        <v>10</v>
      </c>
      <c r="J41" s="132" t="n">
        <v>10</v>
      </c>
      <c r="K41" s="132" t="n">
        <v>10</v>
      </c>
      <c r="L41" s="132" t="n">
        <v>9</v>
      </c>
      <c r="M41" s="132" t="n">
        <v>10</v>
      </c>
      <c r="N41" s="132" t="n">
        <v>9</v>
      </c>
      <c r="O41" s="132" t="n">
        <v>9</v>
      </c>
      <c r="P41" s="132" t="n">
        <v>10</v>
      </c>
      <c r="Q41" s="132" t="n">
        <v>5</v>
      </c>
      <c r="R41" s="132" t="n">
        <v>10</v>
      </c>
      <c r="S41" s="132" t="n">
        <v>8</v>
      </c>
      <c r="T41" s="132" t="n">
        <v>9</v>
      </c>
      <c r="U41" s="132" t="n">
        <v>10</v>
      </c>
      <c r="V41" s="132" t="n">
        <v>9</v>
      </c>
      <c r="W41" s="130">
        <f>AVERAGE(D41:V41)</f>
        <v/>
      </c>
      <c r="X41" s="118">
        <f>IF(W41&gt;=8,"Excellent",IF(W41&gt;=6,"Very good",IF(W41&gt;=4,"Good",IF(W41&gt;=2,"Satisfactory",IF(W41&gt;=1,"Unsatisfactory")))))</f>
        <v/>
      </c>
    </row>
    <row r="42" ht="19.5" customHeight="1" s="108">
      <c r="A42" s="131" t="n"/>
      <c r="B42" s="131" t="n"/>
      <c r="C42" s="128" t="inlineStr">
        <is>
          <t>Structure &amp; Flow</t>
        </is>
      </c>
      <c r="D42" s="132" t="n">
        <v>6</v>
      </c>
      <c r="E42" s="132" t="n">
        <v>8</v>
      </c>
      <c r="F42" s="132" t="n">
        <v>9</v>
      </c>
      <c r="G42" s="132" t="n">
        <v>10</v>
      </c>
      <c r="H42" s="132" t="n">
        <v>9</v>
      </c>
      <c r="I42" s="132" t="n">
        <v>10</v>
      </c>
      <c r="J42" s="132" t="n">
        <v>10</v>
      </c>
      <c r="K42" s="132" t="n">
        <v>10</v>
      </c>
      <c r="L42" s="132" t="n">
        <v>9</v>
      </c>
      <c r="M42" s="132" t="n">
        <v>10</v>
      </c>
      <c r="N42" s="132" t="n">
        <v>9</v>
      </c>
      <c r="O42" s="132" t="n">
        <v>10</v>
      </c>
      <c r="P42" s="132" t="n">
        <v>9</v>
      </c>
      <c r="Q42" s="132" t="n">
        <v>5</v>
      </c>
      <c r="R42" s="132" t="n">
        <v>10</v>
      </c>
      <c r="S42" s="132" t="n">
        <v>8</v>
      </c>
      <c r="T42" s="132" t="n">
        <v>9</v>
      </c>
      <c r="U42" s="132" t="n">
        <v>10</v>
      </c>
      <c r="V42" s="132" t="n">
        <v>9</v>
      </c>
      <c r="W42" s="130">
        <f>AVERAGE(D42:V42)</f>
        <v/>
      </c>
      <c r="X42" s="118">
        <f>IF(W42&gt;=8,"Excellent",IF(W42&gt;=6,"Very good",IF(W42&gt;=4,"Good",IF(W42&gt;=2,"Satisfactory",IF(W42&gt;=1,"Unsatisfactory")))))</f>
        <v/>
      </c>
    </row>
    <row r="43" ht="19.5" customHeight="1" s="108">
      <c r="A43" s="131" t="n"/>
      <c r="B43" s="131" t="n"/>
      <c r="C43" s="128" t="inlineStr">
        <is>
          <t>Time Management</t>
        </is>
      </c>
      <c r="D43" s="132" t="n">
        <v>6</v>
      </c>
      <c r="E43" s="132" t="n">
        <v>9</v>
      </c>
      <c r="F43" s="132" t="n">
        <v>9</v>
      </c>
      <c r="G43" s="132" t="n">
        <v>10</v>
      </c>
      <c r="H43" s="132" t="n">
        <v>9</v>
      </c>
      <c r="I43" s="132" t="n">
        <v>10</v>
      </c>
      <c r="J43" s="132" t="n">
        <v>10</v>
      </c>
      <c r="K43" s="132" t="n">
        <v>9</v>
      </c>
      <c r="L43" s="132" t="n">
        <v>10</v>
      </c>
      <c r="M43" s="132" t="n">
        <v>10</v>
      </c>
      <c r="N43" s="132" t="n">
        <v>9</v>
      </c>
      <c r="O43" s="132" t="n">
        <v>9</v>
      </c>
      <c r="P43" s="132" t="n">
        <v>10</v>
      </c>
      <c r="Q43" s="132" t="n">
        <v>5</v>
      </c>
      <c r="R43" s="132" t="n">
        <v>10</v>
      </c>
      <c r="S43" s="132" t="n">
        <v>8</v>
      </c>
      <c r="T43" s="132" t="n">
        <v>9</v>
      </c>
      <c r="U43" s="132" t="n">
        <v>10</v>
      </c>
      <c r="V43" s="132" t="n">
        <v>9</v>
      </c>
      <c r="W43" s="130">
        <f>AVERAGE(D43:V43)</f>
        <v/>
      </c>
      <c r="X43" s="118">
        <f>IF(W43&gt;=8,"Excellent",IF(W43&gt;=6,"Very good",IF(W43&gt;=4,"Good",IF(W43&gt;=2,"Satisfactory",IF(W43&gt;=1,"Unsatisfactory")))))</f>
        <v/>
      </c>
    </row>
    <row r="44" ht="19.5" customHeight="1" s="108">
      <c r="A44" s="131" t="n"/>
      <c r="B44" s="131" t="n"/>
      <c r="C44" s="125" t="inlineStr">
        <is>
          <t>Faculty Delivery</t>
        </is>
      </c>
      <c r="D44" s="132" t="n">
        <v>6</v>
      </c>
      <c r="E44" s="125" t="n">
        <v>9</v>
      </c>
      <c r="F44" s="125" t="n">
        <v>9</v>
      </c>
      <c r="G44" s="132" t="n">
        <v>10</v>
      </c>
      <c r="H44" s="125" t="n">
        <v>9</v>
      </c>
      <c r="I44" s="132" t="n">
        <v>10</v>
      </c>
      <c r="J44" s="132" t="n">
        <v>10</v>
      </c>
      <c r="K44" s="125" t="n">
        <v>10</v>
      </c>
      <c r="L44" s="132" t="n">
        <v>8</v>
      </c>
      <c r="M44" s="125" t="n">
        <v>10</v>
      </c>
      <c r="N44" s="132" t="n">
        <v>9</v>
      </c>
      <c r="O44" s="132" t="n">
        <v>10</v>
      </c>
      <c r="P44" s="132" t="n">
        <v>10</v>
      </c>
      <c r="Q44" s="132" t="n">
        <v>5</v>
      </c>
      <c r="R44" s="132" t="n">
        <v>10</v>
      </c>
      <c r="S44" s="132" t="n">
        <v>8</v>
      </c>
      <c r="T44" s="132" t="n">
        <v>9</v>
      </c>
      <c r="U44" s="132" t="n">
        <v>10</v>
      </c>
      <c r="V44" s="132" t="n">
        <v>10</v>
      </c>
      <c r="W44" s="130">
        <f>AVERAGE(D44:V44)</f>
        <v/>
      </c>
      <c r="X44" s="118">
        <f>IF(W44&gt;=8,"Excellent",IF(W44&gt;=6,"Very good",IF(W44&gt;=4,"Good",IF(W44&gt;=2,"Satisfactory",IF(W44&gt;=1,"Unsatisfactory")))))</f>
        <v/>
      </c>
    </row>
    <row r="45" ht="19.5" customHeight="1" s="108">
      <c r="A45" s="131" t="n"/>
      <c r="B45" s="124" t="n"/>
      <c r="C45" s="125" t="inlineStr">
        <is>
          <t>Faculty Participants Interaction</t>
        </is>
      </c>
      <c r="D45" s="132" t="n">
        <v>6</v>
      </c>
      <c r="E45" s="132" t="n">
        <v>10</v>
      </c>
      <c r="F45" s="132" t="n">
        <v>9</v>
      </c>
      <c r="G45" s="132" t="n">
        <v>10</v>
      </c>
      <c r="H45" s="132" t="n">
        <v>9</v>
      </c>
      <c r="I45" s="132" t="n">
        <v>10</v>
      </c>
      <c r="J45" s="132" t="n">
        <v>10</v>
      </c>
      <c r="K45" s="132" t="n">
        <v>10</v>
      </c>
      <c r="L45" s="132" t="n">
        <v>9</v>
      </c>
      <c r="M45" s="132" t="n">
        <v>10</v>
      </c>
      <c r="N45" s="132" t="n">
        <v>9</v>
      </c>
      <c r="O45" s="132" t="n">
        <v>9</v>
      </c>
      <c r="P45" s="132" t="n">
        <v>10</v>
      </c>
      <c r="Q45" s="132" t="n">
        <v>5</v>
      </c>
      <c r="R45" s="132" t="n">
        <v>10</v>
      </c>
      <c r="S45" s="132" t="n">
        <v>8</v>
      </c>
      <c r="T45" s="132" t="n">
        <v>9</v>
      </c>
      <c r="U45" s="132" t="n">
        <v>10</v>
      </c>
      <c r="V45" s="132" t="n">
        <v>10</v>
      </c>
      <c r="W45" s="130">
        <f>AVERAGE(D45:V45)</f>
        <v/>
      </c>
      <c r="X45" s="118">
        <f>IF(W45&gt;=8,"Excellent",IF(W45&gt;=6,"Very good",IF(W45&gt;=4,"Good",IF(W45&gt;=2,"Satisfactory",IF(W45&gt;=1,"Unsatisfactory")))))</f>
        <v/>
      </c>
    </row>
    <row r="46" ht="19.5" customHeight="1" s="108">
      <c r="A46" s="131" t="n"/>
      <c r="B46" s="127" t="inlineStr">
        <is>
          <t>Reliability Design Techniques &amp;
Parts and Systems Development
(Mr. Faiz Ahmed Siddiqui
(MGR/MILCOM))</t>
        </is>
      </c>
      <c r="C46" s="128" t="inlineStr">
        <is>
          <t>Course Contenet</t>
        </is>
      </c>
      <c r="D46" s="132" t="n">
        <v>2</v>
      </c>
      <c r="E46" s="132" t="n">
        <v>9</v>
      </c>
      <c r="F46" s="132" t="n">
        <v>4</v>
      </c>
      <c r="G46" s="132" t="n">
        <v>8</v>
      </c>
      <c r="H46" s="132" t="n">
        <v>8</v>
      </c>
      <c r="I46" s="132" t="n">
        <v>6</v>
      </c>
      <c r="J46" s="132" t="n">
        <v>6</v>
      </c>
      <c r="K46" s="132" t="n">
        <v>10</v>
      </c>
      <c r="L46" s="132" t="n">
        <v>9</v>
      </c>
      <c r="M46" s="132" t="n">
        <v>9</v>
      </c>
      <c r="N46" s="132" t="n">
        <v>6</v>
      </c>
      <c r="O46" s="132" t="n">
        <v>9</v>
      </c>
      <c r="P46" s="132" t="n">
        <v>8</v>
      </c>
      <c r="Q46" s="132" t="n">
        <v>5</v>
      </c>
      <c r="R46" s="132" t="n">
        <v>10</v>
      </c>
      <c r="S46" s="132" t="n">
        <v>7</v>
      </c>
      <c r="T46" s="132" t="n">
        <v>9</v>
      </c>
      <c r="U46" s="132" t="n">
        <v>7</v>
      </c>
      <c r="V46" s="132" t="n">
        <v>8</v>
      </c>
      <c r="W46" s="130">
        <f>AVERAGE(D46:V46)</f>
        <v/>
      </c>
      <c r="X46" s="118">
        <f>IF(W46&gt;=8,"Excellent",IF(W46&gt;=6,"Very good",IF(W46&gt;=4,"Good",IF(W46&gt;=2,"Satisfactory",IF(W46&gt;=1,"Unsatisfactory")))))</f>
        <v/>
      </c>
    </row>
    <row r="47" ht="19.5" customHeight="1" s="108">
      <c r="A47" s="131" t="n"/>
      <c r="B47" s="131" t="n"/>
      <c r="C47" s="128" t="inlineStr">
        <is>
          <t>Structure &amp; Flow</t>
        </is>
      </c>
      <c r="D47" s="132" t="n">
        <v>2</v>
      </c>
      <c r="E47" s="132" t="n">
        <v>9</v>
      </c>
      <c r="F47" s="132" t="n">
        <v>4</v>
      </c>
      <c r="G47" s="132" t="n">
        <v>8</v>
      </c>
      <c r="H47" s="132" t="n">
        <v>8</v>
      </c>
      <c r="I47" s="132" t="n">
        <v>6</v>
      </c>
      <c r="J47" s="132" t="n">
        <v>6</v>
      </c>
      <c r="K47" s="132" t="n">
        <v>9</v>
      </c>
      <c r="L47" s="132" t="n">
        <v>8</v>
      </c>
      <c r="M47" s="132" t="n">
        <v>9</v>
      </c>
      <c r="N47" s="132" t="n">
        <v>6</v>
      </c>
      <c r="O47" s="132" t="n">
        <v>10</v>
      </c>
      <c r="P47" s="132" t="n">
        <v>8</v>
      </c>
      <c r="Q47" s="132" t="n">
        <v>5</v>
      </c>
      <c r="R47" s="132" t="n">
        <v>10</v>
      </c>
      <c r="S47" s="132" t="n">
        <v>7</v>
      </c>
      <c r="T47" s="132" t="n">
        <v>8</v>
      </c>
      <c r="U47" s="132" t="n">
        <v>7</v>
      </c>
      <c r="V47" s="132" t="n">
        <v>8</v>
      </c>
      <c r="W47" s="130">
        <f>AVERAGE(D47:V47)</f>
        <v/>
      </c>
      <c r="X47" s="118">
        <f>IF(W47&gt;=8,"Excellent",IF(W47&gt;=6,"Very good",IF(W47&gt;=4,"Good",IF(W47&gt;=2,"Satisfactory",IF(W47&gt;=1,"Unsatisfactory")))))</f>
        <v/>
      </c>
    </row>
    <row r="48" ht="19.5" customHeight="1" s="108">
      <c r="A48" s="131" t="n"/>
      <c r="B48" s="131" t="n"/>
      <c r="C48" s="128" t="inlineStr">
        <is>
          <t>Time Management</t>
        </is>
      </c>
      <c r="D48" s="132" t="n">
        <v>2</v>
      </c>
      <c r="E48" s="125" t="n">
        <v>9</v>
      </c>
      <c r="F48" s="125" t="n">
        <v>4</v>
      </c>
      <c r="G48" s="132" t="n">
        <v>7</v>
      </c>
      <c r="H48" s="125" t="n">
        <v>8</v>
      </c>
      <c r="I48" s="132" t="n">
        <v>5</v>
      </c>
      <c r="J48" s="132" t="n">
        <v>6</v>
      </c>
      <c r="K48" s="125" t="n">
        <v>9</v>
      </c>
      <c r="L48" s="132" t="n">
        <v>9</v>
      </c>
      <c r="M48" s="132" t="n">
        <v>10</v>
      </c>
      <c r="N48" s="132" t="n">
        <v>6</v>
      </c>
      <c r="O48" s="132" t="n">
        <v>10</v>
      </c>
      <c r="P48" s="132" t="n">
        <v>8</v>
      </c>
      <c r="Q48" s="132" t="n">
        <v>5</v>
      </c>
      <c r="R48" s="132" t="n">
        <v>10</v>
      </c>
      <c r="S48" s="132" t="n">
        <v>7</v>
      </c>
      <c r="T48" s="132" t="n">
        <v>8</v>
      </c>
      <c r="U48" s="132" t="n">
        <v>6</v>
      </c>
      <c r="V48" s="132" t="n">
        <v>8</v>
      </c>
      <c r="W48" s="130">
        <f>AVERAGE(D48:V48)</f>
        <v/>
      </c>
      <c r="X48" s="118">
        <f>IF(W48&gt;=8,"Excellent",IF(W48&gt;=6,"Very good",IF(W48&gt;=4,"Good",IF(W48&gt;=2,"Satisfactory",IF(W48&gt;=1,"Unsatisfactory")))))</f>
        <v/>
      </c>
    </row>
    <row r="49" ht="19.5" customHeight="1" s="108">
      <c r="A49" s="131" t="n"/>
      <c r="B49" s="131" t="n"/>
      <c r="C49" s="125" t="inlineStr">
        <is>
          <t>Faculty Delivery</t>
        </is>
      </c>
      <c r="D49" s="132" t="n">
        <v>2</v>
      </c>
      <c r="E49" s="125" t="n">
        <v>10</v>
      </c>
      <c r="F49" s="125" t="n">
        <v>4</v>
      </c>
      <c r="G49" s="132" t="n">
        <v>7</v>
      </c>
      <c r="H49" s="125" t="n">
        <v>8</v>
      </c>
      <c r="I49" s="132" t="n">
        <v>9</v>
      </c>
      <c r="J49" s="132" t="n">
        <v>6</v>
      </c>
      <c r="K49" s="125" t="n">
        <v>10</v>
      </c>
      <c r="L49" s="132" t="n">
        <v>8</v>
      </c>
      <c r="M49" s="132" t="n">
        <v>10</v>
      </c>
      <c r="N49" s="132" t="n">
        <v>6</v>
      </c>
      <c r="O49" s="132" t="n">
        <v>10</v>
      </c>
      <c r="P49" s="132" t="n">
        <v>9</v>
      </c>
      <c r="Q49" s="132" t="n">
        <v>5</v>
      </c>
      <c r="R49" s="132" t="n">
        <v>10</v>
      </c>
      <c r="S49" s="132" t="n">
        <v>7</v>
      </c>
      <c r="T49" s="132" t="n">
        <v>8</v>
      </c>
      <c r="U49" s="132" t="n">
        <v>7</v>
      </c>
      <c r="V49" s="132" t="n">
        <v>8</v>
      </c>
      <c r="W49" s="130">
        <f>AVERAGE(D49:V49)</f>
        <v/>
      </c>
      <c r="X49" s="118">
        <f>IF(W49&gt;=8,"Excellent",IF(W49&gt;=6,"Very good",IF(W49&gt;=4,"Good",IF(W49&gt;=2,"Satisfactory",IF(W49&gt;=1,"Unsatisfactory")))))</f>
        <v/>
      </c>
    </row>
    <row r="50" ht="19.5" customHeight="1" s="108">
      <c r="A50" s="124" t="n"/>
      <c r="B50" s="124" t="n"/>
      <c r="C50" s="125" t="inlineStr">
        <is>
          <t>Faculty Participants Interaction</t>
        </is>
      </c>
      <c r="D50" s="132" t="n">
        <v>2</v>
      </c>
      <c r="E50" s="132" t="n">
        <v>10</v>
      </c>
      <c r="F50" s="132" t="n">
        <v>4</v>
      </c>
      <c r="G50" s="132" t="n">
        <v>7</v>
      </c>
      <c r="H50" s="132" t="n">
        <v>8</v>
      </c>
      <c r="I50" s="132" t="n">
        <v>9</v>
      </c>
      <c r="J50" s="132" t="n">
        <v>6</v>
      </c>
      <c r="K50" s="132" t="n">
        <v>9</v>
      </c>
      <c r="L50" s="132" t="n">
        <v>8</v>
      </c>
      <c r="M50" s="132" t="n">
        <v>10</v>
      </c>
      <c r="N50" s="132" t="n">
        <v>6</v>
      </c>
      <c r="O50" s="132" t="n">
        <v>9</v>
      </c>
      <c r="P50" s="132" t="n">
        <v>9</v>
      </c>
      <c r="Q50" s="132" t="n">
        <v>5</v>
      </c>
      <c r="R50" s="132" t="n">
        <v>10</v>
      </c>
      <c r="S50" s="132" t="n">
        <v>7</v>
      </c>
      <c r="T50" s="132" t="n">
        <v>8</v>
      </c>
      <c r="U50" s="132" t="n">
        <v>7</v>
      </c>
      <c r="V50" s="132" t="n">
        <v>8</v>
      </c>
      <c r="W50" s="130">
        <f>AVERAGE(D50:V50)</f>
        <v/>
      </c>
      <c r="X50" s="118">
        <f>IF(W50&gt;=8,"Excellent",IF(W50&gt;=6,"Very good",IF(W50&gt;=4,"Good",IF(W50&gt;=2,"Satisfactory",IF(W50&gt;=1,"Unsatisfactory")))))</f>
        <v/>
      </c>
    </row>
    <row r="51" ht="19.5" customHeight="1" s="108">
      <c r="A51" s="126" t="inlineStr">
        <is>
          <t>DAY 5
(24-07-2026)</t>
        </is>
      </c>
      <c r="B51" s="127" t="inlineStr">
        <is>
          <t>Reliability Design Techniques
(DOE)
(Mr Surendra Singh
DGM (QM/BAE))</t>
        </is>
      </c>
      <c r="C51" s="128" t="inlineStr">
        <is>
          <t>Course Contenet</t>
        </is>
      </c>
      <c r="D51" s="132" t="n">
        <v>3</v>
      </c>
      <c r="E51" s="132" t="n">
        <v>10</v>
      </c>
      <c r="F51" s="132" t="n">
        <v>10</v>
      </c>
      <c r="G51" s="132" t="n">
        <v>10</v>
      </c>
      <c r="H51" s="132" t="n">
        <v>9</v>
      </c>
      <c r="I51" s="132" t="n">
        <v>10</v>
      </c>
      <c r="J51" s="132" t="n">
        <v>10</v>
      </c>
      <c r="K51" s="132" t="n">
        <v>10</v>
      </c>
      <c r="L51" s="132" t="n">
        <v>10</v>
      </c>
      <c r="M51" s="132" t="n">
        <v>10</v>
      </c>
      <c r="N51" s="132" t="n">
        <v>8</v>
      </c>
      <c r="O51" s="132" t="n">
        <v>10</v>
      </c>
      <c r="P51" s="132" t="n">
        <v>10</v>
      </c>
      <c r="Q51" s="132" t="n">
        <v>9</v>
      </c>
      <c r="R51" s="132" t="n">
        <v>10</v>
      </c>
      <c r="S51" s="132" t="n">
        <v>8</v>
      </c>
      <c r="T51" s="132" t="n">
        <v>9</v>
      </c>
      <c r="U51" s="132" t="n">
        <v>10</v>
      </c>
      <c r="V51" s="132" t="n">
        <v>10</v>
      </c>
      <c r="W51" s="130">
        <f>AVERAGE(D51:V51)</f>
        <v/>
      </c>
      <c r="X51" s="118">
        <f>IF(W51&gt;=8,"Excellent",IF(W51&gt;=6,"Very good",IF(W51&gt;=4,"Good",IF(W51&gt;=2,"Satisfactory",IF(W51&gt;=1,"Unsatisfactory")))))</f>
        <v/>
      </c>
    </row>
    <row r="52" ht="19.5" customHeight="1" s="108">
      <c r="A52" s="131" t="n"/>
      <c r="B52" s="131" t="n"/>
      <c r="C52" s="128" t="inlineStr">
        <is>
          <t>Structure &amp; Flow</t>
        </is>
      </c>
      <c r="D52" s="132" t="n">
        <v>3</v>
      </c>
      <c r="E52" s="132" t="n">
        <v>9</v>
      </c>
      <c r="F52" s="132" t="n">
        <v>10</v>
      </c>
      <c r="G52" s="132" t="n">
        <v>10</v>
      </c>
      <c r="H52" s="132" t="n">
        <v>9</v>
      </c>
      <c r="I52" s="132" t="n">
        <v>10</v>
      </c>
      <c r="J52" s="132" t="n">
        <v>10</v>
      </c>
      <c r="K52" s="132" t="n">
        <v>10</v>
      </c>
      <c r="L52" s="132" t="n">
        <v>9</v>
      </c>
      <c r="M52" s="132" t="n">
        <v>10</v>
      </c>
      <c r="N52" s="132" t="n">
        <v>8</v>
      </c>
      <c r="O52" s="132" t="n">
        <v>10</v>
      </c>
      <c r="P52" s="132" t="n">
        <v>10</v>
      </c>
      <c r="Q52" s="132" t="n">
        <v>9</v>
      </c>
      <c r="R52" s="132" t="n">
        <v>10</v>
      </c>
      <c r="S52" s="132" t="n">
        <v>8</v>
      </c>
      <c r="T52" s="132" t="n">
        <v>9</v>
      </c>
      <c r="U52" s="132" t="n">
        <v>10</v>
      </c>
      <c r="V52" s="132" t="n">
        <v>10</v>
      </c>
      <c r="W52" s="130">
        <f>AVERAGE(D52:V52)</f>
        <v/>
      </c>
      <c r="X52" s="118">
        <f>IF(W52&gt;=8,"Excellent",IF(W52&gt;=6,"Very good",IF(W52&gt;=4,"Good",IF(W52&gt;=2,"Satisfactory",IF(W52&gt;=1,"Unsatisfactory")))))</f>
        <v/>
      </c>
    </row>
    <row r="53" ht="19.5" customHeight="1" s="108">
      <c r="A53" s="131" t="n"/>
      <c r="B53" s="131" t="n"/>
      <c r="C53" s="128" t="inlineStr">
        <is>
          <t>Time Management</t>
        </is>
      </c>
      <c r="D53" s="132" t="n">
        <v>3</v>
      </c>
      <c r="E53" s="132" t="n">
        <v>10</v>
      </c>
      <c r="F53" s="132" t="n">
        <v>10</v>
      </c>
      <c r="G53" s="132" t="n">
        <v>10</v>
      </c>
      <c r="H53" s="132" t="n">
        <v>9</v>
      </c>
      <c r="I53" s="132" t="n">
        <v>10</v>
      </c>
      <c r="J53" s="132" t="n">
        <v>10</v>
      </c>
      <c r="K53" s="132" t="n">
        <v>10</v>
      </c>
      <c r="L53" s="132" t="n">
        <v>10</v>
      </c>
      <c r="M53" s="132" t="n">
        <v>10</v>
      </c>
      <c r="N53" s="132" t="n">
        <v>8</v>
      </c>
      <c r="O53" s="132" t="n">
        <v>10</v>
      </c>
      <c r="P53" s="132" t="n">
        <v>10</v>
      </c>
      <c r="Q53" s="132" t="n">
        <v>9</v>
      </c>
      <c r="R53" s="132" t="n">
        <v>10</v>
      </c>
      <c r="S53" s="132" t="n">
        <v>8</v>
      </c>
      <c r="T53" s="132" t="n">
        <v>8</v>
      </c>
      <c r="U53" s="132" t="n">
        <v>10</v>
      </c>
      <c r="V53" s="132" t="n">
        <v>10</v>
      </c>
      <c r="W53" s="130">
        <f>AVERAGE(D53:V53)</f>
        <v/>
      </c>
      <c r="X53" s="118">
        <f>IF(W53&gt;=8,"Excellent",IF(W53&gt;=6,"Very good",IF(W53&gt;=4,"Good",IF(W53&gt;=2,"Satisfactory",IF(W53&gt;=1,"Unsatisfactory")))))</f>
        <v/>
      </c>
    </row>
    <row r="54" ht="19.5" customHeight="1" s="108">
      <c r="A54" s="131" t="n"/>
      <c r="B54" s="131" t="n"/>
      <c r="C54" s="125" t="inlineStr">
        <is>
          <t>Faculty Delivery</t>
        </is>
      </c>
      <c r="D54" s="132" t="n">
        <v>3</v>
      </c>
      <c r="E54" s="125" t="n">
        <v>10</v>
      </c>
      <c r="F54" s="125" t="n">
        <v>10</v>
      </c>
      <c r="G54" s="132" t="n">
        <v>10</v>
      </c>
      <c r="H54" s="125" t="n">
        <v>9</v>
      </c>
      <c r="I54" s="132" t="n">
        <v>10</v>
      </c>
      <c r="J54" s="132" t="n">
        <v>10</v>
      </c>
      <c r="K54" s="125" t="n">
        <v>10</v>
      </c>
      <c r="L54" s="132" t="n">
        <v>9</v>
      </c>
      <c r="M54" s="125" t="n">
        <v>10</v>
      </c>
      <c r="N54" s="132" t="n">
        <v>8</v>
      </c>
      <c r="O54" s="132" t="n">
        <v>10</v>
      </c>
      <c r="P54" s="132" t="n">
        <v>10</v>
      </c>
      <c r="Q54" s="132" t="n">
        <v>9</v>
      </c>
      <c r="R54" s="132" t="n">
        <v>10</v>
      </c>
      <c r="S54" s="132" t="n">
        <v>8</v>
      </c>
      <c r="T54" s="132" t="n">
        <v>9</v>
      </c>
      <c r="U54" s="132" t="n">
        <v>10</v>
      </c>
      <c r="V54" s="132" t="n">
        <v>10</v>
      </c>
      <c r="W54" s="130">
        <f>AVERAGE(D54:V54)</f>
        <v/>
      </c>
      <c r="X54" s="118">
        <f>IF(W54&gt;=8,"Excellent",IF(W54&gt;=6,"Very good",IF(W54&gt;=4,"Good",IF(W54&gt;=2,"Satisfactory",IF(W54&gt;=1,"Unsatisfactory")))))</f>
        <v/>
      </c>
    </row>
    <row r="55" ht="19.5" customHeight="1" s="108">
      <c r="A55" s="131" t="n"/>
      <c r="B55" s="124" t="n"/>
      <c r="C55" s="125" t="inlineStr">
        <is>
          <t>Faculty Participants Interaction</t>
        </is>
      </c>
      <c r="D55" s="132" t="n">
        <v>3</v>
      </c>
      <c r="E55" s="132" t="n">
        <v>10</v>
      </c>
      <c r="F55" s="132" t="n">
        <v>10</v>
      </c>
      <c r="G55" s="132" t="n">
        <v>10</v>
      </c>
      <c r="H55" s="132" t="n">
        <v>9</v>
      </c>
      <c r="I55" s="132" t="n">
        <v>10</v>
      </c>
      <c r="J55" s="132" t="n">
        <v>10</v>
      </c>
      <c r="K55" s="132" t="n">
        <v>10</v>
      </c>
      <c r="L55" s="132" t="n">
        <v>9</v>
      </c>
      <c r="M55" s="132" t="n">
        <v>10</v>
      </c>
      <c r="N55" s="132" t="n">
        <v>8</v>
      </c>
      <c r="O55" s="132" t="n">
        <v>10</v>
      </c>
      <c r="P55" s="132" t="n">
        <v>9</v>
      </c>
      <c r="Q55" s="132" t="n">
        <v>9</v>
      </c>
      <c r="R55" s="132" t="n">
        <v>10</v>
      </c>
      <c r="S55" s="132" t="n">
        <v>8</v>
      </c>
      <c r="T55" s="132" t="n">
        <v>9</v>
      </c>
      <c r="U55" s="132" t="n">
        <v>10</v>
      </c>
      <c r="V55" s="132" t="n">
        <v>10</v>
      </c>
      <c r="W55" s="130">
        <f>AVERAGE(D55:V55)</f>
        <v/>
      </c>
      <c r="X55" s="118">
        <f>IF(W55&gt;=8,"Excellent",IF(W55&gt;=6,"Very good",IF(W55&gt;=4,"Good",IF(W55&gt;=2,"Satisfactory",IF(W55&gt;=1,"Unsatisfactory")))))</f>
        <v/>
      </c>
    </row>
    <row r="56" ht="19.5" customHeight="1" s="108">
      <c r="A56" s="131" t="n"/>
      <c r="B56" s="127" t="inlineStr">
        <is>
          <t>Maintainability
'(Mr Jagadeesh Kumar R )</t>
        </is>
      </c>
      <c r="C56" s="128" t="inlineStr">
        <is>
          <t>Course Contenet</t>
        </is>
      </c>
      <c r="D56" s="132" t="n">
        <v>9</v>
      </c>
      <c r="E56" s="132" t="n">
        <v>9</v>
      </c>
      <c r="F56" s="132" t="n">
        <v>9</v>
      </c>
      <c r="G56" s="132" t="n">
        <v>9</v>
      </c>
      <c r="H56" s="132" t="n">
        <v>9</v>
      </c>
      <c r="I56" s="132" t="n">
        <v>10</v>
      </c>
      <c r="J56" s="132" t="n">
        <v>10</v>
      </c>
      <c r="K56" s="132" t="n">
        <v>10</v>
      </c>
      <c r="L56" s="132" t="n">
        <v>9</v>
      </c>
      <c r="M56" s="132" t="n">
        <v>10</v>
      </c>
      <c r="N56" s="132" t="n">
        <v>9</v>
      </c>
      <c r="O56" s="132" t="n">
        <v>8</v>
      </c>
      <c r="P56" s="132" t="n">
        <v>8</v>
      </c>
      <c r="Q56" s="132" t="n">
        <v>7</v>
      </c>
      <c r="R56" s="132" t="n">
        <v>10</v>
      </c>
      <c r="S56" s="132" t="n">
        <v>8</v>
      </c>
      <c r="T56" s="132" t="n">
        <v>9</v>
      </c>
      <c r="U56" s="132" t="n">
        <v>10</v>
      </c>
      <c r="V56" s="132" t="n">
        <v>9</v>
      </c>
      <c r="W56" s="130">
        <f>AVERAGE(D56:V56)</f>
        <v/>
      </c>
      <c r="X56" s="118">
        <f>IF(W56&gt;=8,"Excellent",IF(W56&gt;=6,"Very good",IF(W56&gt;=4,"Good",IF(W56&gt;=2,"Satisfactory",IF(W56&gt;=1,"Unsatisfactory")))))</f>
        <v/>
      </c>
    </row>
    <row r="57" ht="19.5" customHeight="1" s="108">
      <c r="A57" s="131" t="n"/>
      <c r="B57" s="131" t="n"/>
      <c r="C57" s="128" t="inlineStr">
        <is>
          <t>Structure &amp; Flow</t>
        </is>
      </c>
      <c r="D57" s="132" t="n">
        <v>9</v>
      </c>
      <c r="E57" s="132" t="n">
        <v>9</v>
      </c>
      <c r="F57" s="132" t="n">
        <v>9</v>
      </c>
      <c r="G57" s="132" t="n">
        <v>9</v>
      </c>
      <c r="H57" s="132" t="n">
        <v>9</v>
      </c>
      <c r="I57" s="132" t="n">
        <v>10</v>
      </c>
      <c r="J57" s="132" t="n">
        <v>10</v>
      </c>
      <c r="K57" s="132" t="n">
        <v>10</v>
      </c>
      <c r="L57" s="132" t="n">
        <v>9</v>
      </c>
      <c r="M57" s="132" t="n">
        <v>10</v>
      </c>
      <c r="N57" s="132" t="n">
        <v>9</v>
      </c>
      <c r="O57" s="132" t="n">
        <v>9</v>
      </c>
      <c r="P57" s="132" t="n">
        <v>8</v>
      </c>
      <c r="Q57" s="132" t="n">
        <v>7</v>
      </c>
      <c r="R57" s="132" t="n">
        <v>10</v>
      </c>
      <c r="S57" s="132" t="n">
        <v>8</v>
      </c>
      <c r="T57" s="132" t="n">
        <v>9</v>
      </c>
      <c r="U57" s="132" t="n">
        <v>10</v>
      </c>
      <c r="V57" s="132" t="n">
        <v>9</v>
      </c>
      <c r="W57" s="130">
        <f>AVERAGE(D57:V57)</f>
        <v/>
      </c>
      <c r="X57" s="118">
        <f>IF(W57&gt;=8,"Excellent",IF(W57&gt;=6,"Very good",IF(W57&gt;=4,"Good",IF(W57&gt;=2,"Satisfactory",IF(W57&gt;=1,"Unsatisfactory")))))</f>
        <v/>
      </c>
    </row>
    <row r="58" ht="19.5" customHeight="1" s="108">
      <c r="A58" s="131" t="n"/>
      <c r="B58" s="131" t="n"/>
      <c r="C58" s="128" t="inlineStr">
        <is>
          <t>Time Management</t>
        </is>
      </c>
      <c r="D58" s="132" t="n">
        <v>9</v>
      </c>
      <c r="E58" s="125" t="n">
        <v>9</v>
      </c>
      <c r="F58" s="125" t="n">
        <v>9</v>
      </c>
      <c r="G58" s="132" t="n">
        <v>9</v>
      </c>
      <c r="H58" s="125" t="n">
        <v>9</v>
      </c>
      <c r="I58" s="132" t="n">
        <v>10</v>
      </c>
      <c r="J58" s="132" t="n">
        <v>10</v>
      </c>
      <c r="K58" s="125" t="n">
        <v>10</v>
      </c>
      <c r="L58" s="132" t="n">
        <v>8</v>
      </c>
      <c r="M58" s="132" t="n">
        <v>10</v>
      </c>
      <c r="N58" s="132" t="n">
        <v>9</v>
      </c>
      <c r="O58" s="132" t="n">
        <v>8</v>
      </c>
      <c r="P58" s="132" t="n">
        <v>8</v>
      </c>
      <c r="Q58" s="132" t="n">
        <v>7</v>
      </c>
      <c r="R58" s="132" t="n">
        <v>10</v>
      </c>
      <c r="S58" s="132" t="n">
        <v>8</v>
      </c>
      <c r="T58" s="132" t="n">
        <v>8</v>
      </c>
      <c r="U58" s="132" t="n">
        <v>10</v>
      </c>
      <c r="V58" s="132" t="n">
        <v>9</v>
      </c>
      <c r="W58" s="130">
        <f>AVERAGE(D58:V58)</f>
        <v/>
      </c>
      <c r="X58" s="118">
        <f>IF(W58&gt;=8,"Excellent",IF(W58&gt;=6,"Very good",IF(W58&gt;=4,"Good",IF(W58&gt;=2,"Satisfactory",IF(W58&gt;=1,"Unsatisfactory")))))</f>
        <v/>
      </c>
    </row>
    <row r="59" ht="19.5" customHeight="1" s="108">
      <c r="A59" s="131" t="n"/>
      <c r="B59" s="131" t="n"/>
      <c r="C59" s="125" t="inlineStr">
        <is>
          <t>Faculty Delivery</t>
        </is>
      </c>
      <c r="D59" s="132" t="n">
        <v>9</v>
      </c>
      <c r="E59" s="125" t="n">
        <v>9</v>
      </c>
      <c r="F59" s="125" t="n">
        <v>9</v>
      </c>
      <c r="G59" s="132" t="n">
        <v>9</v>
      </c>
      <c r="H59" s="125" t="n">
        <v>9</v>
      </c>
      <c r="I59" s="132" t="n">
        <v>10</v>
      </c>
      <c r="J59" s="132" t="n">
        <v>10</v>
      </c>
      <c r="K59" s="125" t="n">
        <v>10</v>
      </c>
      <c r="L59" s="132" t="n">
        <v>9</v>
      </c>
      <c r="M59" s="132" t="n">
        <v>10</v>
      </c>
      <c r="N59" s="132" t="n">
        <v>9</v>
      </c>
      <c r="O59" s="132" t="n">
        <v>10</v>
      </c>
      <c r="P59" s="132" t="n">
        <v>8</v>
      </c>
      <c r="Q59" s="132" t="n">
        <v>7</v>
      </c>
      <c r="R59" s="132" t="n">
        <v>10</v>
      </c>
      <c r="S59" s="132" t="n">
        <v>8</v>
      </c>
      <c r="T59" s="132" t="n">
        <v>9</v>
      </c>
      <c r="U59" s="132" t="n">
        <v>10</v>
      </c>
      <c r="V59" s="132" t="n">
        <v>9</v>
      </c>
      <c r="W59" s="130">
        <f>AVERAGE(D59:V59)</f>
        <v/>
      </c>
      <c r="X59" s="118">
        <f>IF(W59&gt;=8,"Excellent",IF(W59&gt;=6,"Very good",IF(W59&gt;=4,"Good",IF(W59&gt;=2,"Satisfactory",IF(W59&gt;=1,"Unsatisfactory")))))</f>
        <v/>
      </c>
    </row>
    <row r="60" ht="19.5" customHeight="1" s="108">
      <c r="A60" s="124" t="n"/>
      <c r="B60" s="124" t="n"/>
      <c r="C60" s="125" t="inlineStr">
        <is>
          <t>Faculty Participants Interaction</t>
        </is>
      </c>
      <c r="D60" s="132" t="n">
        <v>9</v>
      </c>
      <c r="E60" s="132" t="n">
        <v>10</v>
      </c>
      <c r="F60" s="132" t="n">
        <v>10</v>
      </c>
      <c r="G60" s="132" t="n">
        <v>9</v>
      </c>
      <c r="H60" s="132" t="n">
        <v>9</v>
      </c>
      <c r="I60" s="132" t="n">
        <v>10</v>
      </c>
      <c r="J60" s="132" t="n">
        <v>10</v>
      </c>
      <c r="K60" s="132" t="n">
        <v>10</v>
      </c>
      <c r="L60" s="132" t="n">
        <v>9</v>
      </c>
      <c r="M60" s="132" t="n">
        <v>10</v>
      </c>
      <c r="N60" s="132" t="n">
        <v>9</v>
      </c>
      <c r="O60" s="132" t="n">
        <v>10</v>
      </c>
      <c r="P60" s="132" t="n">
        <v>8</v>
      </c>
      <c r="Q60" s="132" t="n">
        <v>7</v>
      </c>
      <c r="R60" s="132" t="n">
        <v>10</v>
      </c>
      <c r="S60" s="132" t="n">
        <v>8</v>
      </c>
      <c r="T60" s="132" t="n">
        <v>9</v>
      </c>
      <c r="U60" s="132" t="n">
        <v>10</v>
      </c>
      <c r="V60" s="132" t="n">
        <v>9</v>
      </c>
      <c r="W60" s="130">
        <f>AVERAGE(D60:V60)</f>
        <v/>
      </c>
      <c r="X60" s="118">
        <f>IF(W60&gt;=8,"Excellent",IF(W60&gt;=6,"Very good",IF(W60&gt;=4,"Good",IF(W60&gt;=2,"Satisfactory",IF(W60&gt;=1,"Unsatisfactory")))))</f>
        <v/>
      </c>
    </row>
    <row r="61" ht="15.75" customHeight="1" s="108">
      <c r="A61" s="127" t="inlineStr">
        <is>
          <t>OVERALL FEEDBACK</t>
        </is>
      </c>
      <c r="B61" s="186" t="n"/>
      <c r="C61" s="128" t="inlineStr">
        <is>
          <t>Delivery Notes (Course Material)</t>
        </is>
      </c>
      <c r="D61" s="132" t="n">
        <v>8</v>
      </c>
      <c r="E61" s="125" t="n">
        <v>9</v>
      </c>
      <c r="F61" s="125" t="n">
        <v>8</v>
      </c>
      <c r="G61" s="125" t="n">
        <v>8</v>
      </c>
      <c r="H61" s="125" t="n">
        <v>9</v>
      </c>
      <c r="I61" s="125" t="n">
        <v>10</v>
      </c>
      <c r="J61" s="125" t="n">
        <v>10</v>
      </c>
      <c r="K61" s="125" t="n">
        <v>10</v>
      </c>
      <c r="L61" s="125" t="n">
        <v>9</v>
      </c>
      <c r="M61" s="125" t="n">
        <v>9</v>
      </c>
      <c r="N61" s="125" t="n">
        <v>8</v>
      </c>
      <c r="O61" s="125" t="n">
        <v>10</v>
      </c>
      <c r="P61" s="125" t="n">
        <v>9</v>
      </c>
      <c r="Q61" s="125" t="n">
        <v>10</v>
      </c>
      <c r="R61" s="125" t="n">
        <v>9</v>
      </c>
      <c r="S61" s="125" t="n">
        <v>8</v>
      </c>
      <c r="T61" s="125" t="n">
        <v>9</v>
      </c>
      <c r="U61" s="125" t="n">
        <v>9</v>
      </c>
      <c r="V61" s="125" t="n">
        <v>9</v>
      </c>
      <c r="W61" s="130">
        <f>AVERAGE(D61:V61)</f>
        <v/>
      </c>
      <c r="X61" s="118">
        <f>IF(W61&gt;=8,"Excellent",IF(W61&gt;=6,"Very good",IF(W61&gt;=4,"Good",IF(W61&gt;=2,"Satisfactory",IF(W61&gt;=1,"Unsatisfactory")))))</f>
        <v/>
      </c>
    </row>
    <row r="62" ht="15.75" customHeight="1" s="108">
      <c r="A62" s="187" t="n"/>
      <c r="B62" s="188" t="n"/>
      <c r="C62" s="128" t="inlineStr">
        <is>
          <t>Communication &amp; Overall Coordination</t>
        </is>
      </c>
      <c r="D62" s="132" t="n">
        <v>9</v>
      </c>
      <c r="E62" s="132" t="n">
        <v>10</v>
      </c>
      <c r="F62" s="132" t="n">
        <v>8</v>
      </c>
      <c r="G62" s="132" t="n">
        <v>8</v>
      </c>
      <c r="H62" s="132" t="n">
        <v>9</v>
      </c>
      <c r="I62" s="132" t="n">
        <v>10</v>
      </c>
      <c r="J62" s="132" t="n">
        <v>10</v>
      </c>
      <c r="K62" s="132" t="n">
        <v>10</v>
      </c>
      <c r="L62" s="132" t="n">
        <v>9</v>
      </c>
      <c r="M62" s="132" t="n">
        <v>10</v>
      </c>
      <c r="N62" s="132" t="n">
        <v>8</v>
      </c>
      <c r="O62" s="132" t="n">
        <v>10</v>
      </c>
      <c r="P62" s="132" t="n">
        <v>9</v>
      </c>
      <c r="Q62" s="132" t="n">
        <v>10</v>
      </c>
      <c r="R62" s="132" t="n">
        <v>9</v>
      </c>
      <c r="S62" s="132" t="n">
        <v>8</v>
      </c>
      <c r="T62" s="132" t="n">
        <v>10</v>
      </c>
      <c r="U62" s="132" t="n">
        <v>9</v>
      </c>
      <c r="V62" s="132" t="n">
        <v>10</v>
      </c>
      <c r="W62" s="130">
        <f>AVERAGE(D62:V62)</f>
        <v/>
      </c>
      <c r="X62" s="118">
        <f>IF(W62&gt;=8,"Excellent",IF(W62&gt;=6,"Very good",IF(W62&gt;=4,"Good",IF(W62&gt;=2,"Satisfactory",IF(W62&gt;=1,"Unsatisfactory")))))</f>
        <v/>
      </c>
    </row>
    <row r="63" ht="15.75" customHeight="1" s="108">
      <c r="A63" s="187" t="n"/>
      <c r="B63" s="188" t="n"/>
      <c r="C63" s="125" t="inlineStr">
        <is>
          <t>Classroom Facilities</t>
        </is>
      </c>
      <c r="D63" s="132" t="n">
        <v>9</v>
      </c>
      <c r="E63" s="132" t="n">
        <v>10</v>
      </c>
      <c r="F63" s="132" t="n">
        <v>10</v>
      </c>
      <c r="G63" s="132" t="n">
        <v>9</v>
      </c>
      <c r="H63" s="132" t="n">
        <v>9</v>
      </c>
      <c r="I63" s="132" t="n">
        <v>10</v>
      </c>
      <c r="J63" s="132" t="n">
        <v>10</v>
      </c>
      <c r="K63" s="132" t="n">
        <v>10</v>
      </c>
      <c r="L63" s="132" t="n">
        <v>9</v>
      </c>
      <c r="M63" s="132" t="n">
        <v>10</v>
      </c>
      <c r="N63" s="132" t="n">
        <v>9</v>
      </c>
      <c r="O63" s="132" t="n">
        <v>10</v>
      </c>
      <c r="P63" s="132" t="n">
        <v>10</v>
      </c>
      <c r="Q63" s="132" t="n">
        <v>10</v>
      </c>
      <c r="R63" s="132" t="n">
        <v>9</v>
      </c>
      <c r="S63" s="132" t="n">
        <v>8</v>
      </c>
      <c r="T63" s="132" t="n">
        <v>10</v>
      </c>
      <c r="U63" s="132" t="n">
        <v>10</v>
      </c>
      <c r="V63" s="132" t="n">
        <v>10</v>
      </c>
      <c r="W63" s="130">
        <f>AVERAGE(D63:V63)</f>
        <v/>
      </c>
      <c r="X63" s="118">
        <f>IF(W63&gt;=8,"Excellent",IF(W63&gt;=6,"Very good",IF(W63&gt;=4,"Good",IF(W63&gt;=2,"Satisfactory",IF(W63&gt;=1,"Unsatisfactory")))))</f>
        <v/>
      </c>
    </row>
    <row r="64" ht="15.75" customHeight="1" s="108">
      <c r="A64" s="189" t="n"/>
      <c r="B64" s="190" t="n"/>
      <c r="C64" s="125" t="inlineStr">
        <is>
          <t>Relevance to your current job</t>
        </is>
      </c>
      <c r="D64" s="132" t="n">
        <v>10</v>
      </c>
      <c r="E64" s="132" t="n">
        <v>9</v>
      </c>
      <c r="F64" s="132" t="n">
        <v>9</v>
      </c>
      <c r="G64" s="132" t="n">
        <v>9</v>
      </c>
      <c r="H64" s="132" t="n">
        <v>9</v>
      </c>
      <c r="I64" s="132" t="n">
        <v>10</v>
      </c>
      <c r="J64" s="132" t="n">
        <v>9</v>
      </c>
      <c r="K64" s="132" t="n">
        <v>10</v>
      </c>
      <c r="L64" s="132" t="n">
        <v>9</v>
      </c>
      <c r="M64" s="132" t="n">
        <v>10</v>
      </c>
      <c r="N64" s="132" t="n">
        <v>9</v>
      </c>
      <c r="O64" s="132" t="n">
        <v>10</v>
      </c>
      <c r="P64" s="132" t="n">
        <v>9</v>
      </c>
      <c r="Q64" s="132" t="n">
        <v>10</v>
      </c>
      <c r="R64" s="132" t="n">
        <v>9</v>
      </c>
      <c r="S64" s="132" t="n">
        <v>8</v>
      </c>
      <c r="T64" s="132" t="n">
        <v>9</v>
      </c>
      <c r="U64" s="132" t="n">
        <v>9</v>
      </c>
      <c r="V64" s="132" t="n">
        <v>9</v>
      </c>
      <c r="W64" s="130">
        <f>AVERAGE(D64:V64)</f>
        <v/>
      </c>
      <c r="X64" s="118">
        <f>IF(W64&gt;=8,"Excellent",IF(W64&gt;=6,"Very good",IF(W64&gt;=4,"Good",IF(W64&gt;=2,"Satisfactory",IF(W64&gt;=1,"Unsatisfactory")))))</f>
        <v/>
      </c>
    </row>
    <row r="65" ht="59.25" customHeight="1" s="108">
      <c r="A65" s="133" t="n"/>
      <c r="B65" s="127" t="inlineStr">
        <is>
          <t>Suggestion 1</t>
        </is>
      </c>
      <c r="C65" s="116" t="n"/>
      <c r="D65" s="129" t="n"/>
      <c r="E65" s="135" t="n"/>
      <c r="F65" s="136" t="n"/>
      <c r="G65" s="135" t="n"/>
      <c r="H65" s="135" t="n"/>
      <c r="I65" s="135" t="n"/>
      <c r="J65" s="135" t="n"/>
      <c r="K65" s="137" t="n"/>
      <c r="L65" s="137" t="n"/>
      <c r="M65" s="138" t="n"/>
      <c r="N65" s="135" t="n"/>
      <c r="O65" s="137" t="n"/>
      <c r="P65" s="137" t="n"/>
      <c r="Q65" s="137" t="n"/>
      <c r="R65" s="135" t="n"/>
      <c r="S65" s="135" t="n"/>
      <c r="T65" s="135" t="n"/>
      <c r="U65" s="135" t="n"/>
      <c r="V65" s="138" t="n"/>
      <c r="W65" s="139" t="n"/>
      <c r="X65" s="140" t="n"/>
    </row>
    <row r="66" ht="55.5" customHeight="1" s="108">
      <c r="A66" s="133" t="n"/>
      <c r="B66" s="127" t="inlineStr">
        <is>
          <t>Suggestion 2</t>
        </is>
      </c>
      <c r="C66" s="116" t="n"/>
      <c r="D66" s="129" t="n"/>
      <c r="E66" s="135" t="n"/>
      <c r="F66" s="135" t="n"/>
      <c r="G66" s="135" t="n"/>
      <c r="H66" s="135" t="n"/>
      <c r="I66" s="137" t="n"/>
      <c r="J66" s="135" t="n"/>
      <c r="K66" s="135" t="n"/>
      <c r="L66" s="135" t="n"/>
      <c r="M66" s="135" t="n"/>
      <c r="N66" s="135" t="n"/>
      <c r="O66" s="135" t="n"/>
      <c r="P66" s="135" t="n"/>
      <c r="Q66" s="135" t="n"/>
      <c r="R66" s="135" t="n"/>
      <c r="S66" s="137" t="n"/>
      <c r="T66" s="137" t="n"/>
      <c r="U66" s="135" t="n"/>
      <c r="V66" s="137" t="n"/>
      <c r="W66" s="139" t="n"/>
      <c r="X66" s="140" t="n"/>
    </row>
    <row r="67" ht="15.75" customHeight="1" s="108">
      <c r="D67" s="141" t="n"/>
      <c r="E67" s="141" t="n"/>
      <c r="G67" s="107" t="inlineStr">
        <is>
          <t>.</t>
        </is>
      </c>
      <c r="K67" s="141" t="n"/>
    </row>
    <row r="68" ht="15.75" customHeight="1" s="108">
      <c r="J68" s="142" t="n"/>
      <c r="K68" s="143" t="n"/>
    </row>
    <row r="69" ht="15.75" customHeight="1" s="108">
      <c r="C69" s="144" t="inlineStr">
        <is>
          <t xml:space="preserve">Excellent </t>
        </is>
      </c>
      <c r="D69" s="145" t="n"/>
      <c r="E69" s="145" t="n"/>
      <c r="F69" s="145" t="n"/>
      <c r="G69" s="145" t="n"/>
      <c r="H69" s="145" t="n"/>
      <c r="I69" s="145" t="n"/>
      <c r="J69" s="145" t="n"/>
      <c r="K69" s="145" t="n"/>
      <c r="L69" s="145" t="n"/>
      <c r="M69" s="145" t="n"/>
      <c r="N69" s="145" t="n"/>
      <c r="O69" s="145" t="n"/>
      <c r="P69" s="145" t="n"/>
      <c r="Q69" s="145" t="n"/>
      <c r="R69" s="145" t="n"/>
      <c r="S69" s="145" t="n"/>
      <c r="T69" s="145" t="n"/>
      <c r="U69" s="145" t="n"/>
      <c r="V69" s="145" t="n"/>
    </row>
    <row r="70" ht="15.75" customHeight="1" s="108">
      <c r="C70" s="146" t="inlineStr">
        <is>
          <t>Very Good</t>
        </is>
      </c>
      <c r="D70" s="115" t="n"/>
      <c r="E70" s="115" t="n"/>
      <c r="F70" s="115" t="n"/>
      <c r="G70" s="115" t="n"/>
      <c r="H70" s="115" t="n"/>
      <c r="I70" s="115" t="n"/>
      <c r="J70" s="115" t="n"/>
      <c r="K70" s="115" t="n"/>
      <c r="L70" s="115" t="n"/>
      <c r="M70" s="115" t="n"/>
      <c r="N70" s="115" t="n"/>
      <c r="O70" s="115" t="n"/>
      <c r="P70" s="115" t="n"/>
      <c r="Q70" s="115" t="n"/>
      <c r="R70" s="115" t="n"/>
      <c r="S70" s="115" t="n"/>
      <c r="T70" s="115" t="n"/>
      <c r="U70" s="115" t="n"/>
      <c r="V70" s="115" t="n"/>
    </row>
    <row r="71" ht="15.75" customHeight="1" s="108">
      <c r="C71" s="147" t="inlineStr">
        <is>
          <t>Good</t>
        </is>
      </c>
      <c r="D71" s="115" t="n"/>
      <c r="E71" s="115" t="n"/>
      <c r="F71" s="115" t="n"/>
      <c r="G71" s="115" t="n"/>
      <c r="H71" s="115" t="n"/>
      <c r="I71" s="115" t="n"/>
      <c r="J71" s="115" t="n"/>
      <c r="K71" s="115" t="n"/>
      <c r="L71" s="115" t="n"/>
      <c r="M71" s="115" t="n"/>
      <c r="N71" s="115" t="n"/>
      <c r="O71" s="115" t="n"/>
      <c r="P71" s="115" t="n"/>
      <c r="Q71" s="115" t="n"/>
      <c r="R71" s="115" t="n"/>
      <c r="S71" s="115" t="n"/>
      <c r="T71" s="115" t="n"/>
      <c r="U71" s="115" t="n"/>
      <c r="V71" s="115" t="n"/>
    </row>
    <row r="72" ht="15.75" customHeight="1" s="108">
      <c r="C72" s="148" t="inlineStr">
        <is>
          <t>Satisfactory</t>
        </is>
      </c>
      <c r="D72" s="115" t="n"/>
      <c r="E72" s="115" t="n"/>
      <c r="F72" s="115" t="n"/>
      <c r="G72" s="115" t="n"/>
      <c r="H72" s="115" t="n"/>
      <c r="I72" s="115" t="n"/>
      <c r="J72" s="115" t="n"/>
      <c r="K72" s="115" t="n"/>
      <c r="L72" s="115" t="n"/>
      <c r="M72" s="115" t="n"/>
      <c r="N72" s="115" t="n"/>
      <c r="O72" s="115" t="n"/>
      <c r="P72" s="115" t="n"/>
      <c r="Q72" s="115" t="n"/>
      <c r="R72" s="115" t="n"/>
      <c r="S72" s="115" t="n"/>
      <c r="T72" s="115" t="n"/>
      <c r="U72" s="115" t="n"/>
      <c r="V72" s="115" t="n"/>
    </row>
    <row r="73" ht="15.75" customHeight="1" s="108">
      <c r="C73" s="149" t="inlineStr">
        <is>
          <t xml:space="preserve">Unsatisfactory </t>
        </is>
      </c>
      <c r="D73" s="150" t="n"/>
      <c r="E73" s="150" t="n"/>
      <c r="F73" s="150" t="n"/>
      <c r="G73" s="150" t="n"/>
      <c r="H73" s="150" t="n"/>
      <c r="I73" s="150" t="n"/>
      <c r="J73" s="150" t="n"/>
      <c r="K73" s="150" t="n"/>
      <c r="L73" s="150" t="n"/>
      <c r="M73" s="150" t="n"/>
      <c r="N73" s="150" t="n"/>
      <c r="O73" s="150" t="n"/>
      <c r="P73" s="150" t="n"/>
      <c r="Q73" s="150" t="n"/>
      <c r="R73" s="150" t="n"/>
      <c r="S73" s="150" t="n"/>
      <c r="T73" s="150" t="n"/>
      <c r="U73" s="150" t="n"/>
      <c r="V73" s="150" t="n"/>
    </row>
    <row r="74" ht="15.75" customHeight="1" s="108"/>
    <row r="75" ht="15.75" customHeight="1" s="108"/>
    <row r="76" ht="15.75" customHeight="1" s="108"/>
    <row r="77" ht="15.75" customHeight="1" s="108"/>
    <row r="78" ht="15.75" customHeight="1" s="108"/>
    <row r="79" ht="15.75" customHeight="1" s="108"/>
    <row r="80" ht="15.75" customHeight="1" s="108"/>
    <row r="81" ht="16.5" customHeight="1" s="108"/>
    <row r="83" ht="15.75" customHeight="1" s="108"/>
    <row r="84" ht="16.5" customHeight="1" s="108"/>
    <row r="85" ht="15.75" customHeight="1" s="108"/>
    <row r="86" ht="12.75" customHeight="1" s="108"/>
    <row r="87" ht="13.5" customHeight="1" s="108"/>
    <row r="88" ht="15" customHeight="1" s="108"/>
    <row r="89" ht="15" customHeight="1" s="108"/>
    <row r="90" ht="15" customHeight="1" s="108"/>
    <row r="91" ht="15" customHeight="1" s="108"/>
    <row r="92" ht="15" customHeight="1" s="108"/>
  </sheetData>
  <mergeCells count="33">
    <mergeCell ref="A17:A26"/>
    <mergeCell ref="C2:X2"/>
    <mergeCell ref="W5:W6"/>
    <mergeCell ref="C69:V69"/>
    <mergeCell ref="B66:C66"/>
    <mergeCell ref="D5:V5"/>
    <mergeCell ref="C73:V73"/>
    <mergeCell ref="A51:A60"/>
    <mergeCell ref="B51:B55"/>
    <mergeCell ref="B36:B40"/>
    <mergeCell ref="B7:B11"/>
    <mergeCell ref="X5:X6"/>
    <mergeCell ref="B41:B45"/>
    <mergeCell ref="D3:X3"/>
    <mergeCell ref="A5:A6"/>
    <mergeCell ref="A7:A16"/>
    <mergeCell ref="B56:B60"/>
    <mergeCell ref="B12:B16"/>
    <mergeCell ref="A41:A50"/>
    <mergeCell ref="B22:B26"/>
    <mergeCell ref="C71:V71"/>
    <mergeCell ref="B46:B50"/>
    <mergeCell ref="B27:B31"/>
    <mergeCell ref="B5:B6"/>
    <mergeCell ref="A61:B64"/>
    <mergeCell ref="B65:C65"/>
    <mergeCell ref="C70:V70"/>
    <mergeCell ref="A27:A40"/>
    <mergeCell ref="B17:B21"/>
    <mergeCell ref="C72:V72"/>
    <mergeCell ref="A1:X1"/>
    <mergeCell ref="B32:B35"/>
    <mergeCell ref="C5:C6"/>
  </mergeCells>
  <conditionalFormatting sqref="D7:V7 D8:D66 E8:V64">
    <cfRule type="colorScale" priority="2">
      <colorScale>
        <cfvo type="min" val="0"/>
        <cfvo type="percentile" val="50"/>
        <cfvo type="max" val="0"/>
        <color rgb="FFF8696B"/>
        <color rgb="FFFFEB84"/>
        <color rgb="FF63BE7B"/>
      </colorScale>
    </cfRule>
  </conditionalFormatting>
  <conditionalFormatting sqref="X7:X64">
    <cfRule type="cellIs" rank="0" priority="3" equalAverage="0" operator="equal" aboveAverage="0" dxfId="0" text="" percent="0" bottom="0">
      <formula>"Unsatisfactory"</formula>
    </cfRule>
    <cfRule type="cellIs" rank="0" priority="4" equalAverage="0" operator="equal" aboveAverage="0" dxfId="1" text="" percent="0" bottom="0">
      <formula>"Satisfactory"</formula>
    </cfRule>
    <cfRule type="cellIs" rank="0" priority="5" equalAverage="0" operator="equal" aboveAverage="0" dxfId="2" text="" percent="0" bottom="0">
      <formula>"Good"</formula>
    </cfRule>
    <cfRule type="cellIs" rank="0" priority="6" equalAverage="0" operator="equal" aboveAverage="0" dxfId="3" text="" percent="0" bottom="0">
      <formula>"Very good"</formula>
    </cfRule>
    <cfRule type="cellIs" rank="0" priority="7" equalAverage="0" operator="equal" aboveAverage="0" dxfId="4" text="" percent="0" bottom="0">
      <formula>"Excellent"</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6.xml><?xml version="1.0" encoding="utf-8"?>
<worksheet xmlns="http://schemas.openxmlformats.org/spreadsheetml/2006/main">
  <sheetPr filterMode="0">
    <outlinePr summaryBelow="1" summaryRight="1"/>
    <pageSetUpPr fitToPage="0"/>
  </sheetPr>
  <dimension ref="B4:V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C4" activeCellId="0" sqref="C4"/>
    </sheetView>
  </sheetViews>
  <sheetFormatPr baseColWidth="8" defaultColWidth="9.12890625" defaultRowHeight="15" zeroHeight="0" outlineLevelRow="0"/>
  <cols>
    <col width="40.62" customWidth="1" style="107" min="2" max="2"/>
    <col width="11.12" customWidth="1" style="107" min="8" max="8"/>
  </cols>
  <sheetData>
    <row r="4" ht="23.25" customHeight="1" s="108">
      <c r="B4" s="151" t="inlineStr">
        <is>
          <t xml:space="preserve">Staff No </t>
        </is>
      </c>
      <c r="C4" s="152">
        <f>'Mod-2 Participant''s Feedback'!D6</f>
        <v/>
      </c>
      <c r="D4" s="152">
        <f>'Mod-2 Participant''s Feedback'!E6</f>
        <v/>
      </c>
      <c r="E4" s="152">
        <f>'Mod-2 Participant''s Feedback'!F6</f>
        <v/>
      </c>
      <c r="F4" s="152">
        <f>'Mod-2 Participant''s Feedback'!G6</f>
        <v/>
      </c>
      <c r="G4" s="152">
        <f>'Mod-2 Participant''s Feedback'!H6</f>
        <v/>
      </c>
      <c r="H4" s="152">
        <f>'Mod-2 Participant''s Feedback'!I6</f>
        <v/>
      </c>
      <c r="I4" s="152">
        <f>'Mod-2 Participant''s Feedback'!J6</f>
        <v/>
      </c>
      <c r="J4" s="152">
        <f>'Mod-2 Participant''s Feedback'!K6</f>
        <v/>
      </c>
      <c r="K4" s="152">
        <f>'Mod-2 Participant''s Feedback'!L6</f>
        <v/>
      </c>
      <c r="L4" s="152">
        <f>'Mod-2 Participant''s Feedback'!M6</f>
        <v/>
      </c>
      <c r="M4" s="152">
        <f>'Mod-2 Participant''s Feedback'!N6</f>
        <v/>
      </c>
      <c r="N4" s="152">
        <f>'Mod-2 Participant''s Feedback'!O6</f>
        <v/>
      </c>
      <c r="O4" s="152">
        <f>'Mod-2 Participant''s Feedback'!P6</f>
        <v/>
      </c>
      <c r="P4" s="152">
        <f>'Mod-2 Participant''s Feedback'!Q6</f>
        <v/>
      </c>
      <c r="Q4" s="152">
        <f>'Mod-2 Participant''s Feedback'!R6</f>
        <v/>
      </c>
      <c r="R4" s="152">
        <f>'Mod-2 Participant''s Feedback'!S6</f>
        <v/>
      </c>
      <c r="S4" s="152">
        <f>'Mod-2 Participant''s Feedback'!T6</f>
        <v/>
      </c>
      <c r="T4" s="152">
        <f>'Mod-2 Participant''s Feedback'!U6</f>
        <v/>
      </c>
      <c r="U4" s="152">
        <f>'Mod-2 Participant''s Feedback'!V6</f>
        <v/>
      </c>
      <c r="V4" s="152" t="inlineStr">
        <is>
          <t>Avr</t>
        </is>
      </c>
    </row>
    <row r="5" ht="23.25" customHeight="1" s="108">
      <c r="B5" s="151" t="inlineStr">
        <is>
          <t>Delivery Notes (Course Material)</t>
        </is>
      </c>
      <c r="C5" s="153">
        <f>'Mod-2 Participant''s Feedback'!D61</f>
        <v/>
      </c>
      <c r="D5" s="153">
        <f>'Mod-2 Participant''s Feedback'!E61</f>
        <v/>
      </c>
      <c r="E5" s="153">
        <f>'Mod-2 Participant''s Feedback'!F61</f>
        <v/>
      </c>
      <c r="F5" s="153">
        <f>'Mod-2 Participant''s Feedback'!G61</f>
        <v/>
      </c>
      <c r="G5" s="153">
        <f>'Mod-2 Participant''s Feedback'!H61</f>
        <v/>
      </c>
      <c r="H5" s="153">
        <f>'Mod-2 Participant''s Feedback'!I61</f>
        <v/>
      </c>
      <c r="I5" s="153">
        <f>'Mod-2 Participant''s Feedback'!J61</f>
        <v/>
      </c>
      <c r="J5" s="153">
        <f>'Mod-2 Participant''s Feedback'!K61</f>
        <v/>
      </c>
      <c r="K5" s="153">
        <f>'Mod-2 Participant''s Feedback'!L61</f>
        <v/>
      </c>
      <c r="L5" s="153">
        <f>'Mod-2 Participant''s Feedback'!M61</f>
        <v/>
      </c>
      <c r="M5" s="153">
        <f>'Mod-2 Participant''s Feedback'!N61</f>
        <v/>
      </c>
      <c r="N5" s="153">
        <f>'Mod-2 Participant''s Feedback'!O61</f>
        <v/>
      </c>
      <c r="O5" s="153">
        <f>'Mod-2 Participant''s Feedback'!P61</f>
        <v/>
      </c>
      <c r="P5" s="153">
        <f>'Mod-2 Participant''s Feedback'!Q61</f>
        <v/>
      </c>
      <c r="Q5" s="153">
        <f>'Mod-2 Participant''s Feedback'!R61</f>
        <v/>
      </c>
      <c r="R5" s="153">
        <f>'Mod-2 Participant''s Feedback'!S61</f>
        <v/>
      </c>
      <c r="S5" s="153">
        <f>'Mod-2 Participant''s Feedback'!T61</f>
        <v/>
      </c>
      <c r="T5" s="153">
        <f>'Mod-2 Participant''s Feedback'!U61</f>
        <v/>
      </c>
      <c r="U5" s="153">
        <f>'Mod-2 Participant''s Feedback'!V61</f>
        <v/>
      </c>
      <c r="V5" s="154">
        <f>AVERAGE(C5:U5)</f>
        <v/>
      </c>
    </row>
    <row r="6" ht="23.25" customHeight="1" s="108">
      <c r="B6" s="151" t="inlineStr">
        <is>
          <t>Communication &amp; Overall Coordination</t>
        </is>
      </c>
      <c r="C6" s="153">
        <f>'Mod-2 Participant''s Feedback'!D62</f>
        <v/>
      </c>
      <c r="D6" s="153">
        <f>'Mod-2 Participant''s Feedback'!E62</f>
        <v/>
      </c>
      <c r="E6" s="153">
        <f>'Mod-2 Participant''s Feedback'!F62</f>
        <v/>
      </c>
      <c r="F6" s="153">
        <f>'Mod-2 Participant''s Feedback'!G62</f>
        <v/>
      </c>
      <c r="G6" s="153">
        <f>'Mod-2 Participant''s Feedback'!H62</f>
        <v/>
      </c>
      <c r="H6" s="153">
        <f>'Mod-2 Participant''s Feedback'!I62</f>
        <v/>
      </c>
      <c r="I6" s="153">
        <f>'Mod-2 Participant''s Feedback'!J62</f>
        <v/>
      </c>
      <c r="J6" s="153">
        <f>'Mod-2 Participant''s Feedback'!K62</f>
        <v/>
      </c>
      <c r="K6" s="153">
        <f>'Mod-2 Participant''s Feedback'!L62</f>
        <v/>
      </c>
      <c r="L6" s="153">
        <f>'Mod-2 Participant''s Feedback'!M62</f>
        <v/>
      </c>
      <c r="M6" s="153">
        <f>'Mod-2 Participant''s Feedback'!N62</f>
        <v/>
      </c>
      <c r="N6" s="153">
        <f>'Mod-2 Participant''s Feedback'!O62</f>
        <v/>
      </c>
      <c r="O6" s="153">
        <f>'Mod-2 Participant''s Feedback'!P62</f>
        <v/>
      </c>
      <c r="P6" s="153">
        <f>'Mod-2 Participant''s Feedback'!Q62</f>
        <v/>
      </c>
      <c r="Q6" s="153">
        <f>'Mod-2 Participant''s Feedback'!R62</f>
        <v/>
      </c>
      <c r="R6" s="153">
        <f>'Mod-2 Participant''s Feedback'!S62</f>
        <v/>
      </c>
      <c r="S6" s="153">
        <f>'Mod-2 Participant''s Feedback'!T62</f>
        <v/>
      </c>
      <c r="T6" s="153">
        <f>'Mod-2 Participant''s Feedback'!U62</f>
        <v/>
      </c>
      <c r="U6" s="153">
        <f>'Mod-2 Participant''s Feedback'!V62</f>
        <v/>
      </c>
      <c r="V6" s="154">
        <f>AVERAGE(C6:U6)</f>
        <v/>
      </c>
    </row>
    <row r="7" ht="23.25" customHeight="1" s="108">
      <c r="B7" s="151" t="inlineStr">
        <is>
          <t>Classroom Facilities</t>
        </is>
      </c>
      <c r="C7" s="153">
        <f>'Mod-2 Participant''s Feedback'!D63</f>
        <v/>
      </c>
      <c r="D7" s="153">
        <f>'Mod-2 Participant''s Feedback'!E63</f>
        <v/>
      </c>
      <c r="E7" s="153">
        <f>'Mod-2 Participant''s Feedback'!F63</f>
        <v/>
      </c>
      <c r="F7" s="153">
        <f>'Mod-2 Participant''s Feedback'!G63</f>
        <v/>
      </c>
      <c r="G7" s="153">
        <f>'Mod-2 Participant''s Feedback'!H63</f>
        <v/>
      </c>
      <c r="H7" s="153">
        <f>'Mod-2 Participant''s Feedback'!I63</f>
        <v/>
      </c>
      <c r="I7" s="153">
        <f>'Mod-2 Participant''s Feedback'!J63</f>
        <v/>
      </c>
      <c r="J7" s="153">
        <f>'Mod-2 Participant''s Feedback'!K63</f>
        <v/>
      </c>
      <c r="K7" s="153">
        <f>'Mod-2 Participant''s Feedback'!L63</f>
        <v/>
      </c>
      <c r="L7" s="153">
        <f>'Mod-2 Participant''s Feedback'!M63</f>
        <v/>
      </c>
      <c r="M7" s="153">
        <f>'Mod-2 Participant''s Feedback'!N63</f>
        <v/>
      </c>
      <c r="N7" s="153">
        <f>'Mod-2 Participant''s Feedback'!O63</f>
        <v/>
      </c>
      <c r="O7" s="153">
        <f>'Mod-2 Participant''s Feedback'!P63</f>
        <v/>
      </c>
      <c r="P7" s="153">
        <f>'Mod-2 Participant''s Feedback'!Q63</f>
        <v/>
      </c>
      <c r="Q7" s="153">
        <f>'Mod-2 Participant''s Feedback'!R63</f>
        <v/>
      </c>
      <c r="R7" s="153">
        <f>'Mod-2 Participant''s Feedback'!S63</f>
        <v/>
      </c>
      <c r="S7" s="153">
        <f>'Mod-2 Participant''s Feedback'!T63</f>
        <v/>
      </c>
      <c r="T7" s="153">
        <f>'Mod-2 Participant''s Feedback'!U63</f>
        <v/>
      </c>
      <c r="U7" s="153">
        <f>'Mod-2 Participant''s Feedback'!V63</f>
        <v/>
      </c>
      <c r="V7" s="154">
        <f>AVERAGE(C7:U7)</f>
        <v/>
      </c>
    </row>
    <row r="8" ht="23.25" customHeight="1" s="108">
      <c r="B8" s="151" t="inlineStr">
        <is>
          <t>Relevance to your current job</t>
        </is>
      </c>
      <c r="C8" s="153">
        <f>'Mod-2 Participant''s Feedback'!D64</f>
        <v/>
      </c>
      <c r="D8" s="153">
        <f>'Mod-2 Participant''s Feedback'!E64</f>
        <v/>
      </c>
      <c r="E8" s="153">
        <f>'Mod-2 Participant''s Feedback'!F64</f>
        <v/>
      </c>
      <c r="F8" s="153">
        <f>'Mod-2 Participant''s Feedback'!G64</f>
        <v/>
      </c>
      <c r="G8" s="153">
        <f>'Mod-2 Participant''s Feedback'!H64</f>
        <v/>
      </c>
      <c r="H8" s="153">
        <f>'Mod-2 Participant''s Feedback'!I64</f>
        <v/>
      </c>
      <c r="I8" s="153">
        <f>'Mod-2 Participant''s Feedback'!J64</f>
        <v/>
      </c>
      <c r="J8" s="153">
        <f>'Mod-2 Participant''s Feedback'!K64</f>
        <v/>
      </c>
      <c r="K8" s="153">
        <f>'Mod-2 Participant''s Feedback'!L64</f>
        <v/>
      </c>
      <c r="L8" s="153">
        <f>'Mod-2 Participant''s Feedback'!M64</f>
        <v/>
      </c>
      <c r="M8" s="153">
        <f>'Mod-2 Participant''s Feedback'!N64</f>
        <v/>
      </c>
      <c r="N8" s="153">
        <f>'Mod-2 Participant''s Feedback'!O64</f>
        <v/>
      </c>
      <c r="O8" s="153">
        <f>'Mod-2 Participant''s Feedback'!P64</f>
        <v/>
      </c>
      <c r="P8" s="153">
        <f>'Mod-2 Participant''s Feedback'!Q64</f>
        <v/>
      </c>
      <c r="Q8" s="153">
        <f>'Mod-2 Participant''s Feedback'!R64</f>
        <v/>
      </c>
      <c r="R8" s="153">
        <f>'Mod-2 Participant''s Feedback'!S64</f>
        <v/>
      </c>
      <c r="S8" s="153">
        <f>'Mod-2 Participant''s Feedback'!T64</f>
        <v/>
      </c>
      <c r="T8" s="153">
        <f>'Mod-2 Participant''s Feedback'!U64</f>
        <v/>
      </c>
      <c r="U8" s="153">
        <f>'Mod-2 Participant''s Feedback'!V64</f>
        <v/>
      </c>
      <c r="V8" s="154">
        <f>AVERAGE(C8:U8)</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18" activeCellId="0" sqref="D18"/>
    </sheetView>
  </sheetViews>
  <sheetFormatPr baseColWidth="8" defaultColWidth="9.12890625" defaultRowHeight="15" zeroHeight="0" outlineLevelRow="0"/>
  <cols>
    <col width="6.25" customWidth="1" style="107" min="1" max="1"/>
    <col width="9.619999999999999" customWidth="1" style="107" min="2" max="2"/>
    <col width="65.62" customWidth="1" style="155" min="3" max="3"/>
    <col width="56.87" customWidth="1" style="156" min="4" max="4"/>
  </cols>
  <sheetData>
    <row r="1" ht="23.25" customHeight="1" s="108">
      <c r="A1" s="157" t="inlineStr">
        <is>
          <t>Certified Reliability Engineer - 30  (Date: 20th to 25th Jun-2026 )</t>
        </is>
      </c>
      <c r="B1" s="115" t="n"/>
      <c r="C1" s="115" t="n"/>
      <c r="D1" s="116" t="n"/>
    </row>
    <row r="2" ht="21" customHeight="1" s="108">
      <c r="A2" s="158" t="inlineStr">
        <is>
          <t>Overall Program Feedback</t>
        </is>
      </c>
      <c r="B2" s="115" t="n"/>
      <c r="C2" s="115" t="n"/>
      <c r="D2" s="116" t="n"/>
    </row>
    <row r="3" ht="30" customHeight="1" s="108">
      <c r="A3" s="159" t="inlineStr">
        <is>
          <t>SL No</t>
        </is>
      </c>
      <c r="B3" s="159" t="inlineStr">
        <is>
          <t>Staff No</t>
        </is>
      </c>
      <c r="C3" s="160" t="inlineStr">
        <is>
          <t>What are the other quality training programs you want us to add in training calender ?</t>
        </is>
      </c>
      <c r="D3" s="159" t="inlineStr">
        <is>
          <t>Any Suggestions for the future program ?</t>
        </is>
      </c>
    </row>
    <row r="4" ht="15.75" customHeight="1" s="108">
      <c r="A4" s="161" t="n">
        <v>1</v>
      </c>
      <c r="B4" s="191" t="n">
        <v>217770</v>
      </c>
      <c r="C4" s="153" t="n"/>
      <c r="D4" s="191" t="inlineStr">
        <is>
          <t>Reorganization of Course material of Module 2 as per topic flow.</t>
        </is>
      </c>
    </row>
    <row r="5" ht="15.75" customHeight="1" s="108">
      <c r="A5" s="161" t="n">
        <v>2</v>
      </c>
      <c r="B5" s="191" t="n">
        <v>216442</v>
      </c>
      <c r="C5" s="153" t="n"/>
      <c r="D5" s="191" t="inlineStr">
        <is>
          <t>Module-2 slides were not aligned, which created some confusion.</t>
        </is>
      </c>
    </row>
    <row r="6" ht="15.75" customHeight="1" s="108">
      <c r="A6" s="161" t="n">
        <v>3</v>
      </c>
      <c r="B6" s="191" t="n">
        <v>218036</v>
      </c>
      <c r="C6" s="153" t="n"/>
      <c r="D6" s="191" t="inlineStr">
        <is>
          <t>Focus on complex topics with practical examples for better concept understanding.</t>
        </is>
      </c>
    </row>
    <row r="7" ht="15.75" customHeight="1" s="108">
      <c r="A7" s="161" t="n">
        <v>4</v>
      </c>
      <c r="B7" s="191" t="n">
        <v>216452</v>
      </c>
      <c r="C7" s="153" t="n"/>
      <c r="D7" s="191" t="inlineStr">
        <is>
          <t>Explain the background of Formulas to provide better context ("feel").</t>
        </is>
      </c>
    </row>
    <row r="8" ht="15.75" customHeight="1" s="108">
      <c r="A8" s="161" t="n">
        <v>5</v>
      </c>
      <c r="B8" s="191" t="n">
        <v>218399</v>
      </c>
      <c r="C8" s="153" t="n"/>
      <c r="D8" s="191" t="inlineStr">
        <is>
          <t>Duration for complex topics like DOE &amp; Reliability Modelling can be increased.</t>
        </is>
      </c>
    </row>
    <row r="9" ht="15.75" customHeight="1" s="108">
      <c r="A9" s="161" t="n">
        <v>6</v>
      </c>
      <c r="B9" s="191" t="n">
        <v>216322</v>
      </c>
      <c r="C9" s="153" t="n"/>
      <c r="D9" s="191" t="inlineStr">
        <is>
          <t>Please provide soft copy of class ppt notes.</t>
        </is>
      </c>
    </row>
    <row r="10" ht="15.75" customHeight="1" s="108">
      <c r="A10" s="161" t="n">
        <v>7</v>
      </c>
      <c r="B10" s="191" t="n">
        <v>216448</v>
      </c>
      <c r="C10" s="153" t="n"/>
      <c r="D10" s="191" t="inlineStr">
        <is>
          <t>Continue the Good Work.</t>
        </is>
      </c>
    </row>
  </sheetData>
  <mergeCells count="2">
    <mergeCell ref="A1:D1"/>
    <mergeCell ref="A2:D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B4:G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5" activeCellId="0" sqref="B5"/>
    </sheetView>
  </sheetViews>
  <sheetFormatPr baseColWidth="8" defaultColWidth="9.12890625" defaultRowHeight="15" zeroHeight="0" outlineLevelRow="0"/>
  <cols>
    <col width="16.12" customWidth="1" style="107" min="1" max="1"/>
    <col width="10" customWidth="1" style="107" min="2" max="6"/>
  </cols>
  <sheetData>
    <row r="4" ht="15" customHeight="1" s="108">
      <c r="B4" s="192" t="inlineStr">
        <is>
          <t>UG</t>
        </is>
      </c>
      <c r="C4" s="193" t="inlineStr">
        <is>
          <t>SS</t>
        </is>
      </c>
      <c r="D4" s="193" t="inlineStr">
        <is>
          <t>NS</t>
        </is>
      </c>
      <c r="E4" s="193" t="inlineStr">
        <is>
          <t>PJ</t>
        </is>
      </c>
      <c r="F4" s="193" t="inlineStr">
        <is>
          <t>FA</t>
        </is>
      </c>
      <c r="G4" s="194" t="inlineStr">
        <is>
          <t>JK</t>
        </is>
      </c>
    </row>
    <row r="5" ht="15" customHeight="1" s="108">
      <c r="B5" s="167" t="n"/>
      <c r="C5" s="167" t="n"/>
      <c r="D5" s="167" t="n"/>
      <c r="E5" s="167" t="n"/>
      <c r="F5" s="167" t="n"/>
      <c r="G5" s="167" t="n"/>
    </row>
    <row r="6" ht="15" customHeight="1" s="108">
      <c r="B6" s="167" t="n"/>
      <c r="C6" s="167" t="n"/>
      <c r="D6" s="167" t="n"/>
      <c r="E6" s="167" t="n"/>
      <c r="F6" s="167" t="n"/>
      <c r="G6" s="167" t="n"/>
    </row>
    <row r="7" ht="15" customHeight="1" s="108">
      <c r="B7" s="167" t="n"/>
      <c r="C7" s="167" t="n"/>
      <c r="D7" s="167" t="n"/>
      <c r="E7" s="167" t="n"/>
      <c r="F7" s="167" t="n"/>
      <c r="G7" s="167" t="n"/>
    </row>
    <row r="8" ht="15" customHeight="1" s="108">
      <c r="B8" s="167" t="n"/>
      <c r="C8" s="167" t="n"/>
      <c r="D8" s="167" t="n"/>
      <c r="E8" s="167" t="n"/>
      <c r="F8" s="167" t="n"/>
      <c r="G8" s="167" t="n"/>
    </row>
    <row r="9" ht="15" customHeight="1" s="108">
      <c r="B9" s="167" t="n"/>
      <c r="C9" s="167" t="n"/>
      <c r="D9" s="167" t="n"/>
      <c r="E9" s="167" t="n"/>
      <c r="F9" s="167" t="n"/>
      <c r="G9" s="167" t="n"/>
    </row>
    <row r="10" ht="15" customHeight="1" s="108">
      <c r="B10" s="167" t="n"/>
      <c r="C10" s="167" t="n"/>
      <c r="D10" s="167" t="n"/>
      <c r="E10" s="167" t="n"/>
      <c r="F10" s="167" t="n"/>
      <c r="G10" s="167" t="n"/>
    </row>
    <row r="11" ht="15" customHeight="1" s="108">
      <c r="B11" s="167" t="n"/>
      <c r="C11" s="167" t="n"/>
      <c r="D11" s="167" t="n"/>
      <c r="E11" s="167" t="n"/>
      <c r="F11" s="167" t="n"/>
      <c r="G11" s="167" t="n"/>
    </row>
    <row r="12" ht="15" customFormat="1" customHeight="1" s="195">
      <c r="B12" s="167" t="n"/>
      <c r="C12" s="167" t="n"/>
      <c r="D12" s="167" t="n"/>
      <c r="E12" s="167" t="n"/>
      <c r="F12" s="167" t="n"/>
      <c r="G12" s="167" t="n"/>
    </row>
    <row r="13" ht="15" customHeight="1" s="108">
      <c r="B13" s="167" t="n"/>
      <c r="C13" s="167" t="n"/>
      <c r="D13" s="167" t="n"/>
      <c r="E13" s="167" t="n"/>
      <c r="F13" s="167" t="n"/>
      <c r="G13" s="167" t="n"/>
    </row>
    <row r="14" ht="15" customHeight="1" s="108">
      <c r="B14" s="167" t="n"/>
      <c r="C14" s="167" t="n"/>
      <c r="D14" s="167" t="n"/>
      <c r="E14" s="167" t="n"/>
      <c r="F14" s="167" t="n"/>
      <c r="G14" s="167" t="n"/>
    </row>
    <row r="15" ht="15" customHeight="1" s="108">
      <c r="B15" s="167" t="n"/>
      <c r="C15" s="167" t="n"/>
      <c r="D15" s="167" t="n"/>
      <c r="E15" s="167" t="n"/>
      <c r="F15" s="167" t="n"/>
      <c r="G15" s="167" t="n"/>
    </row>
    <row r="16" ht="15" customHeight="1" s="108">
      <c r="B16" s="167" t="n"/>
      <c r="C16" s="169" t="n"/>
      <c r="D16" s="169" t="n"/>
      <c r="E16" s="169" t="n"/>
      <c r="F16" s="169" t="n"/>
      <c r="G16" s="196" t="n"/>
    </row>
    <row r="17" ht="15" customHeight="1" s="108">
      <c r="B17" s="197" t="n">
        <v>9.65</v>
      </c>
      <c r="C17" s="197" t="n">
        <v>9.279999999999999</v>
      </c>
      <c r="D17" s="197" t="n">
        <v>9.220000000000001</v>
      </c>
      <c r="E17" s="197" t="n">
        <v>9.07</v>
      </c>
      <c r="F17" s="197" t="n">
        <v>8.970000000000001</v>
      </c>
      <c r="G17" s="197" t="n">
        <v>7.33</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tableParts count="1">
    <tablePart xmlns:r="http://schemas.openxmlformats.org/officeDocument/2006/relationships" r:id="rId2"/>
  </tableParts>
</worksheet>
</file>

<file path=xl/worksheets/sheet9.xml><?xml version="1.0" encoding="utf-8"?>
<worksheet xmlns="http://schemas.openxmlformats.org/spreadsheetml/2006/main">
  <sheetPr filterMode="0">
    <outlinePr summaryBelow="1" summaryRight="1"/>
    <pageSetUpPr fitToPage="0"/>
  </sheetPr>
  <dimension ref="A1:D37"/>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F7" activeCellId="0" sqref="F7"/>
    </sheetView>
  </sheetViews>
  <sheetFormatPr baseColWidth="8" defaultColWidth="8.6796875" defaultRowHeight="15" zeroHeight="0" outlineLevelRow="0"/>
  <cols>
    <col width="15.13" customWidth="1" style="107" min="1" max="1"/>
    <col width="22.88" customWidth="1" style="107" min="2" max="2"/>
    <col width="56.25" customWidth="1" style="107" min="3" max="3"/>
    <col width="50.88" customWidth="1" style="107" min="4" max="4"/>
  </cols>
  <sheetData>
    <row r="1" ht="25.5" customHeight="1" s="108">
      <c r="A1" s="198" t="inlineStr">
        <is>
          <t xml:space="preserve">        BEL Academy for Excellence </t>
        </is>
      </c>
      <c r="B1" s="199" t="n"/>
      <c r="C1" s="199" t="n"/>
      <c r="D1" s="200" t="n"/>
    </row>
    <row r="2" ht="15.75" customHeight="1" s="108">
      <c r="A2" s="201" t="inlineStr">
        <is>
          <t>Certified Reliability Engineer Training Program - Batch 30
Module 2 : 20th - 25th July 2026 (Tungabhadra Hall at Nalanda:BAE, Bengaluru)</t>
        </is>
      </c>
      <c r="D2" s="202" t="n"/>
    </row>
    <row r="3" ht="15.75" customHeight="1" s="108">
      <c r="A3" s="203" t="inlineStr">
        <is>
          <t xml:space="preserve"> 
 Course Co-ordinator:     Umesh Ghimirey, Sr.DGM (QM/BAE)
                                          </t>
        </is>
      </c>
      <c r="B3" s="173" t="n"/>
      <c r="C3" s="173" t="n"/>
      <c r="D3" s="190" t="n"/>
    </row>
    <row r="4" ht="15.75" customHeight="1" s="108">
      <c r="A4" s="204" t="inlineStr">
        <is>
          <t>Date</t>
        </is>
      </c>
      <c r="B4" s="205" t="inlineStr">
        <is>
          <t>Session Time</t>
        </is>
      </c>
      <c r="C4" s="206" t="inlineStr">
        <is>
          <t>Session /  Knowledge Area</t>
        </is>
      </c>
      <c r="D4" s="207" t="inlineStr">
        <is>
          <t>Name of The Faculty</t>
        </is>
      </c>
    </row>
    <row r="5" ht="15.75" customHeight="1" s="108">
      <c r="A5" s="208" t="n">
        <v>46223</v>
      </c>
      <c r="B5" s="209" t="inlineStr">
        <is>
          <t>1)   08:30 --- 10:00</t>
        </is>
      </c>
      <c r="C5" s="210" t="inlineStr">
        <is>
          <t xml:space="preserve">Reliability Planning </t>
        </is>
      </c>
      <c r="D5" s="211" t="inlineStr">
        <is>
          <t>Mr. Umesh Ghimirey,
Sr.DGM (QM/BAE)</t>
        </is>
      </c>
    </row>
    <row r="6" ht="15.75" customHeight="1" s="108">
      <c r="A6" s="212" t="n"/>
      <c r="B6" s="213" t="inlineStr">
        <is>
          <t>2)   10:15 --- 11:30</t>
        </is>
      </c>
      <c r="C6" s="124" t="n"/>
      <c r="D6" s="214" t="n"/>
    </row>
    <row r="7" ht="15.75" customHeight="1" s="108">
      <c r="A7" s="212" t="n"/>
      <c r="B7" s="213" t="inlineStr">
        <is>
          <t>3)   11:45 --- 12:45</t>
        </is>
      </c>
      <c r="C7" s="210" t="inlineStr">
        <is>
          <t xml:space="preserve">Reliability Testing </t>
        </is>
      </c>
      <c r="D7" s="215" t="inlineStr">
        <is>
          <t>Mr. Surendra Singh, 
DGM (QM/BAE)</t>
        </is>
      </c>
    </row>
    <row r="8" ht="15.75" customHeight="1" s="108">
      <c r="A8" s="212" t="n"/>
      <c r="B8" s="213" t="inlineStr">
        <is>
          <t>4)   13:30 --- 14:45</t>
        </is>
      </c>
      <c r="C8" s="131" t="n"/>
      <c r="D8" s="216" t="n"/>
    </row>
    <row r="9" ht="15.75" customHeight="1" s="108">
      <c r="A9" s="217" t="n"/>
      <c r="B9" s="213" t="inlineStr">
        <is>
          <t>5)   15:00 --- 16:50</t>
        </is>
      </c>
      <c r="C9" s="124" t="n"/>
      <c r="D9" s="214" t="n"/>
    </row>
    <row r="10" ht="15.75" customHeight="1" s="108">
      <c r="A10" s="218">
        <f>+A5+1</f>
        <v/>
      </c>
      <c r="B10" s="209" t="inlineStr">
        <is>
          <t>1)   08:30 --- 10:00</t>
        </is>
      </c>
      <c r="C10" s="219" t="inlineStr">
        <is>
          <t xml:space="preserve">Reliability Testing </t>
        </is>
      </c>
      <c r="D10" s="215" t="inlineStr">
        <is>
          <t>Mr. Surendra Singh, 
DGM (QM/BAE)</t>
        </is>
      </c>
    </row>
    <row r="11" ht="15.75" customHeight="1" s="108">
      <c r="A11" s="212" t="n"/>
      <c r="B11" s="213" t="inlineStr">
        <is>
          <t>2)   10:15 --- 11:30</t>
        </is>
      </c>
      <c r="C11" s="131" t="n"/>
      <c r="D11" s="216" t="n"/>
    </row>
    <row r="12" ht="15.75" customHeight="1" s="108">
      <c r="A12" s="212" t="n"/>
      <c r="B12" s="213" t="inlineStr">
        <is>
          <t>3)   11:45 --- 12:45</t>
        </is>
      </c>
      <c r="C12" s="124" t="n"/>
      <c r="D12" s="214" t="n"/>
    </row>
    <row r="13" ht="15.75" customHeight="1" s="108">
      <c r="A13" s="212" t="n"/>
      <c r="B13" s="213" t="inlineStr">
        <is>
          <t>4)   13:30 --- 14:45</t>
        </is>
      </c>
      <c r="C13" s="219" t="inlineStr">
        <is>
          <t xml:space="preserve">Reliability Testing </t>
        </is>
      </c>
      <c r="D13" s="220" t="inlineStr">
        <is>
          <t>Mr. Narendra S, 
MGR/PDIC</t>
        </is>
      </c>
    </row>
    <row r="14" ht="15.75" customHeight="1" s="108">
      <c r="A14" s="217" t="n"/>
      <c r="B14" s="213" t="inlineStr">
        <is>
          <t>5)   15:00 --- 16:50</t>
        </is>
      </c>
      <c r="C14" s="124" t="n"/>
      <c r="D14" s="214" t="n"/>
    </row>
    <row r="15" ht="15.75" customHeight="1" s="108">
      <c r="A15" s="218">
        <f>+A10+1</f>
        <v/>
      </c>
      <c r="B15" s="209" t="inlineStr">
        <is>
          <t>1)   08:30 --- 10:00</t>
        </is>
      </c>
      <c r="C15" s="221" t="inlineStr">
        <is>
          <t xml:space="preserve">Reliability Modelling  </t>
        </is>
      </c>
      <c r="D15" s="220" t="inlineStr">
        <is>
          <t>Mr. Umesh Ghimirey,
Sr.DGM (QM/BAE)</t>
        </is>
      </c>
    </row>
    <row r="16" ht="15.75" customHeight="1" s="108">
      <c r="A16" s="212" t="n"/>
      <c r="B16" s="213" t="inlineStr">
        <is>
          <t>2)   10:15 --- 11:30</t>
        </is>
      </c>
      <c r="C16" s="131" t="n"/>
      <c r="D16" s="216" t="n"/>
    </row>
    <row r="17" ht="15.75" customHeight="1" s="108">
      <c r="A17" s="212" t="n"/>
      <c r="B17" s="213" t="inlineStr">
        <is>
          <t>3)   11:45 --- 12:45</t>
        </is>
      </c>
      <c r="C17" s="131" t="n"/>
      <c r="D17" s="216" t="n"/>
    </row>
    <row r="18" ht="15.75" customHeight="1" s="108">
      <c r="A18" s="212" t="n"/>
      <c r="B18" s="213" t="inlineStr">
        <is>
          <t>4)   13:30 --- 14:45</t>
        </is>
      </c>
      <c r="C18" s="124" t="n"/>
      <c r="D18" s="214" t="n"/>
    </row>
    <row r="19" ht="30.75" customHeight="1" s="108">
      <c r="A19" s="217" t="n"/>
      <c r="B19" s="213" t="inlineStr">
        <is>
          <t>5)   15:00 --- 16:50</t>
        </is>
      </c>
      <c r="C19" s="222" t="inlineStr">
        <is>
          <t>Failure Models</t>
        </is>
      </c>
      <c r="D19" s="223" t="inlineStr">
        <is>
          <t>Mr. Faiz Ahmed Siddiqui
MGR/MILCOM</t>
        </is>
      </c>
    </row>
    <row r="20" ht="15.75" customHeight="1" s="108">
      <c r="A20" s="218">
        <f>+A15+1</f>
        <v/>
      </c>
      <c r="B20" s="213" t="inlineStr">
        <is>
          <t>1)   08:30 --- 10:00</t>
        </is>
      </c>
      <c r="C20" s="219" t="inlineStr">
        <is>
          <t>Reliability Prediction Methods, Design Prototype</t>
        </is>
      </c>
      <c r="D20" s="220" t="inlineStr">
        <is>
          <t>Mrs. Pidathala Jahnavi (DM/MS)</t>
        </is>
      </c>
    </row>
    <row r="21" ht="15.75" customHeight="1" s="108">
      <c r="A21" s="212" t="n"/>
      <c r="B21" s="209" t="inlineStr">
        <is>
          <t xml:space="preserve">
2)   10:15 --- 11:30</t>
        </is>
      </c>
      <c r="C21" s="124" t="n"/>
      <c r="D21" s="214" t="n"/>
    </row>
    <row r="22" ht="15.75" customHeight="1" s="108">
      <c r="A22" s="212" t="n"/>
      <c r="B22" s="213" t="inlineStr">
        <is>
          <t>3)   11:45 --- 12:45</t>
        </is>
      </c>
      <c r="C22" s="210" t="inlineStr">
        <is>
          <t>Reliability Design Techniques &amp;
Parts and Systems Development</t>
        </is>
      </c>
      <c r="D22" s="215" t="inlineStr">
        <is>
          <t>Mr. Faiz Ahmed Siddiqui (MGR/MILCOM)</t>
        </is>
      </c>
    </row>
    <row r="23" ht="15.75" customHeight="1" s="108">
      <c r="A23" s="212" t="n"/>
      <c r="B23" s="213" t="inlineStr">
        <is>
          <t>4)   13:30 --- 14:45</t>
        </is>
      </c>
      <c r="C23" s="131" t="n"/>
      <c r="D23" s="216" t="n"/>
    </row>
    <row r="24" ht="15.75" customHeight="1" s="108">
      <c r="A24" s="217" t="n"/>
      <c r="B24" s="213" t="inlineStr">
        <is>
          <t>5)   15:00 --- 16:50</t>
        </is>
      </c>
      <c r="C24" s="124" t="n"/>
      <c r="D24" s="214" t="n"/>
    </row>
    <row r="25" ht="15.75" customHeight="1" s="108">
      <c r="A25" s="218">
        <f>+A20+1</f>
        <v/>
      </c>
      <c r="B25" s="209" t="inlineStr">
        <is>
          <t>1)   08:30 --- 10:00</t>
        </is>
      </c>
      <c r="C25" s="209" t="inlineStr">
        <is>
          <t>Reliability Design Techniques
(DOE)</t>
        </is>
      </c>
      <c r="D25" s="224" t="inlineStr">
        <is>
          <t>Mr. Surendra Singh, 
DGM (QM/BAE)</t>
        </is>
      </c>
    </row>
    <row r="26" ht="15.75" customHeight="1" s="108">
      <c r="A26" s="212" t="n"/>
      <c r="B26" s="213" t="inlineStr">
        <is>
          <t>2)   10:15 --- 11:30</t>
        </is>
      </c>
      <c r="C26" s="131" t="n"/>
      <c r="D26" s="216" t="n"/>
    </row>
    <row r="27" ht="15.75" customHeight="1" s="108">
      <c r="A27" s="212" t="n"/>
      <c r="B27" s="213" t="inlineStr">
        <is>
          <t>3)   11:45 --- 12:45</t>
        </is>
      </c>
      <c r="C27" s="124" t="n"/>
      <c r="D27" s="214" t="n"/>
    </row>
    <row r="28" ht="15.75" customHeight="1" s="108">
      <c r="A28" s="212" t="n"/>
      <c r="B28" s="213" t="inlineStr">
        <is>
          <t>4)   13:30 --- 14:45</t>
        </is>
      </c>
      <c r="C28" s="209" t="inlineStr">
        <is>
          <t>Maintainability</t>
        </is>
      </c>
      <c r="D28" s="225" t="inlineStr">
        <is>
          <t>Mr. Jagadeesh K R
External Faculty</t>
        </is>
      </c>
    </row>
    <row r="29" ht="15.75" customHeight="1" s="108">
      <c r="A29" s="217" t="n"/>
      <c r="B29" s="213" t="inlineStr">
        <is>
          <t>5)   15:00 --- 16:50</t>
        </is>
      </c>
      <c r="C29" s="124" t="n"/>
      <c r="D29" s="214" t="n"/>
    </row>
    <row r="30" ht="47.25" customHeight="1" s="108">
      <c r="A30" s="218">
        <f>+A25+1</f>
        <v/>
      </c>
      <c r="B30" s="209" t="inlineStr">
        <is>
          <t>1)   08:30 --- 09:15</t>
        </is>
      </c>
      <c r="C30" s="226" t="inlineStr">
        <is>
          <t>Quiz on CRE</t>
        </is>
      </c>
      <c r="D30" s="215" t="inlineStr">
        <is>
          <t>Mr. Umesh Ghimirey,
Sr.DGM (QM/BAE)</t>
        </is>
      </c>
    </row>
    <row r="31" ht="78.75" customHeight="1" s="108">
      <c r="A31" s="212" t="n"/>
      <c r="B31" s="213" t="inlineStr">
        <is>
          <t>2)   09:15 --- 10:30</t>
        </is>
      </c>
      <c r="C31" s="227" t="inlineStr">
        <is>
          <t>Revision &amp; Exam Briefing</t>
        </is>
      </c>
      <c r="D31" s="216" t="n"/>
    </row>
    <row r="32" ht="63" customHeight="1" s="108">
      <c r="A32" s="212" t="n"/>
      <c r="B32" s="213" t="inlineStr">
        <is>
          <t>3)   10:30 --- 12:45</t>
        </is>
      </c>
      <c r="C32" s="210" t="inlineStr">
        <is>
          <t>Training Assessment-2</t>
        </is>
      </c>
      <c r="D32" s="216" t="n"/>
    </row>
    <row r="33" ht="78.75" customHeight="1" s="108">
      <c r="A33" s="217" t="n"/>
      <c r="B33" s="213" t="inlineStr">
        <is>
          <t>4)   13:30 --- 16:50</t>
        </is>
      </c>
      <c r="C33" s="210" t="inlineStr">
        <is>
          <t>Discussion on Assessment-2</t>
        </is>
      </c>
      <c r="D33" s="214" t="n"/>
    </row>
    <row r="34" ht="15.75" customHeight="1" s="108">
      <c r="A34" s="228" t="inlineStr">
        <is>
          <t>Tea/Coffee Break (15 Minutes)</t>
        </is>
      </c>
      <c r="B34" s="116" t="n"/>
      <c r="C34" s="229" t="inlineStr">
        <is>
          <t>[I - 10:00 to 10:15] [II - 11:30 to 11:45]
 [III - 14:45 to 15:00]</t>
        </is>
      </c>
      <c r="D34" s="116" t="n"/>
    </row>
    <row r="35" ht="16.5" customHeight="1" s="108">
      <c r="A35" s="230" t="inlineStr">
        <is>
          <t>Lunch Break (45 Minutes)</t>
        </is>
      </c>
      <c r="B35" s="231" t="n"/>
      <c r="C35" s="232" t="inlineStr">
        <is>
          <t>12:45-13:30 Hrs</t>
        </is>
      </c>
      <c r="D35" s="231" t="n"/>
    </row>
    <row r="36" ht="15.75" customHeight="1" s="108">
      <c r="A36" s="233" t="inlineStr">
        <is>
          <t xml:space="preserve">
Sr.DGM &amp; Head Quality Wing</t>
        </is>
      </c>
      <c r="B36" s="145" t="n"/>
      <c r="C36" s="145" t="n"/>
      <c r="D36" s="234" t="n"/>
    </row>
    <row r="37" ht="15.75" customHeight="1" s="108">
      <c r="A37" s="210" t="inlineStr">
        <is>
          <t>CC:
AGM &amp; Head BAE
All Concerned Faculties</t>
        </is>
      </c>
      <c r="B37" s="115" t="n"/>
      <c r="C37" s="115" t="n"/>
      <c r="D37" s="116" t="n"/>
    </row>
  </sheetData>
  <mergeCells count="34">
    <mergeCell ref="C34:D34"/>
    <mergeCell ref="A5:A9"/>
    <mergeCell ref="C20:C21"/>
    <mergeCell ref="D25:D27"/>
    <mergeCell ref="A20:A24"/>
    <mergeCell ref="A30:A33"/>
    <mergeCell ref="C35:D35"/>
    <mergeCell ref="C7:C9"/>
    <mergeCell ref="D13:D14"/>
    <mergeCell ref="A10:A14"/>
    <mergeCell ref="D10:D12"/>
    <mergeCell ref="D28:D29"/>
    <mergeCell ref="A36:D36"/>
    <mergeCell ref="A1:D1"/>
    <mergeCell ref="D22:D24"/>
    <mergeCell ref="A15:A19"/>
    <mergeCell ref="D30:D33"/>
    <mergeCell ref="D15:D18"/>
    <mergeCell ref="D20:D21"/>
    <mergeCell ref="C10:C12"/>
    <mergeCell ref="C13:C14"/>
    <mergeCell ref="D5:D6"/>
    <mergeCell ref="A35:B35"/>
    <mergeCell ref="A37:D37"/>
    <mergeCell ref="C25:C27"/>
    <mergeCell ref="A25:A29"/>
    <mergeCell ref="A3:D3"/>
    <mergeCell ref="C28:C29"/>
    <mergeCell ref="D7:D9"/>
    <mergeCell ref="A2:D2"/>
    <mergeCell ref="C15:C18"/>
    <mergeCell ref="C22:C24"/>
    <mergeCell ref="A34:B34"/>
    <mergeCell ref="C5:C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BEL</dc:creator>
  <dc:language xmlns:dc="http://purl.org/dc/elements/1.1/">en-US</dc:language>
  <dcterms:created xmlns:dcterms="http://purl.org/dc/terms/" xmlns:xsi="http://www.w3.org/2001/XMLSchema-instance" xsi:type="dcterms:W3CDTF">2023-08-09T05:17:25Z</dcterms:created>
  <dcterms:modified xmlns:dcterms="http://purl.org/dc/terms/" xmlns:xsi="http://www.w3.org/2001/XMLSchema-instance" xsi:type="dcterms:W3CDTF">2026-09-01T16:56:40Z</dcterms:modified>
  <cp:revision>2</cp:revision>
</cp:coreProperties>
</file>