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od-1 Participant's Feedback" sheetId="1" state="visible" r:id="rId3"/>
    <sheet name="Mod-1 Overall Feedback" sheetId="2" state="visible" r:id="rId4"/>
    <sheet name="Mod-1Suggestions" sheetId="3" state="visible" r:id="rId5"/>
    <sheet name="Sheet1" sheetId="4" state="visible" r:id="rId6"/>
    <sheet name="Mod-2 Participant's Feedback" sheetId="5" state="visible" r:id="rId7"/>
    <sheet name="Mod-2 Overall Feedback" sheetId="6" state="visible" r:id="rId8"/>
    <sheet name="Mod-2 Suggestions" sheetId="7" state="visible" r:id="rId9"/>
    <sheet name="Sheet 2" sheetId="8" state="visible" r:id="rId10"/>
    <sheet name="Shedu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<sst xmlns="http://schemas.openxmlformats.org/spreadsheetml/2006/main" count="292" uniqueCount="131">
  <si>
    <t xml:space="preserve">Program </t>
  </si>
  <si>
    <t xml:space="preserve">Certified Reliability Engineer - 30  (Date: 06th to 11th July-2026 ) Module - 1</t>
  </si>
  <si>
    <t xml:space="preserve">Feedback Form</t>
  </si>
  <si>
    <t xml:space="preserve">Please rank the parameters on 10 to 1 scale </t>
  </si>
  <si>
    <t xml:space="preserve">8 to 10 - Excellent ; 6 to 7 - V Good ; 4 to 5 - Good ; 2 to 3- Satisfactory ; 1 - Unsatisfactory</t>
  </si>
  <si>
    <t xml:space="preserve">Date</t>
  </si>
  <si>
    <t xml:space="preserve">KA / Subject
(Name of Faculty)</t>
  </si>
  <si>
    <t xml:space="preserve">Criteria</t>
  </si>
  <si>
    <t xml:space="preserve">STAFF NO</t>
  </si>
  <si>
    <t xml:space="preserve">Avg</t>
  </si>
  <si>
    <t xml:space="preserve">Remarks</t>
  </si>
  <si>
    <t xml:space="preserve">502099-K</t>
  </si>
  <si>
    <t xml:space="preserve">506104N</t>
  </si>
  <si>
    <t xml:space="preserve">DAY 1
(06-07-2026)</t>
  </si>
  <si>
    <t xml:space="preserve">Reliability Fundamentals (Leadership Foundations)
(Mr Umesh Ghimirey, 
Sr.DGM (QM/BAE))</t>
  </si>
  <si>
    <t xml:space="preserve">Course Contenet</t>
  </si>
  <si>
    <t xml:space="preserve">Structure &amp; Flow</t>
  </si>
  <si>
    <t xml:space="preserve">Time Management</t>
  </si>
  <si>
    <t xml:space="preserve">Faculty Delivery</t>
  </si>
  <si>
    <t xml:space="preserve">Faculty Participants Interaction</t>
  </si>
  <si>
    <t xml:space="preserve">Risk Management
(Mr Jagadeesh Kumar R )</t>
  </si>
  <si>
    <t xml:space="preserve">DAY 2
(07-07-2026)</t>
  </si>
  <si>
    <t xml:space="preserve">Reliability Fundamentals (Reliability Foundations)
(Mr Umesh Ghimirey, 
Sr.DGM (QM/BAE))</t>
  </si>
  <si>
    <t xml:space="preserve">Probability &amp; Statistics for Reliability (Basic Concepts)
(Mr Narendra S,
MGR (BG/PDIC))</t>
  </si>
  <si>
    <t xml:space="preserve">DAY 3
(08-07-2026)</t>
  </si>
  <si>
    <t xml:space="preserve">Probability &amp; Statistics for Reliability (Probability Distributions &amp; Functions)
(Mr Surendra Singh
DGM (QM/BAE))</t>
  </si>
  <si>
    <t xml:space="preserve">DAY 4
(09-07-2026)</t>
  </si>
  <si>
    <t xml:space="preserve">Probability &amp; Statistics for Reliability (Sampling Plans, SPC, Cp, Cpk)
(Mrs Pidathal Jahnavi
DM (BG/MS))</t>
  </si>
  <si>
    <t xml:space="preserve">Probability &amp; Statistics for Reliability (Confidence &amp; Tolerance Intervals, Test of Hypothesis, ANOVA)
(Mr Surendra Singh
DGM (QM/BAE))</t>
  </si>
  <si>
    <t xml:space="preserve">DAY 5
(10-07-2026)</t>
  </si>
  <si>
    <t xml:space="preserve">Data Management
(Mr Narendra S,
MGR (BG/PDIC))</t>
  </si>
  <si>
    <t xml:space="preserve">Suggestion 1</t>
  </si>
  <si>
    <t xml:space="preserve">Suggestion 2</t>
  </si>
  <si>
    <t xml:space="preserve">.</t>
  </si>
  <si>
    <t xml:space="preserve">Excellent </t>
  </si>
  <si>
    <t xml:space="preserve">Very Good</t>
  </si>
  <si>
    <t xml:space="preserve">Good</t>
  </si>
  <si>
    <t xml:space="preserve">Satisfactory</t>
  </si>
  <si>
    <t xml:space="preserve">Unsatisfactory </t>
  </si>
  <si>
    <t xml:space="preserve">Staff No </t>
  </si>
  <si>
    <t xml:space="preserve">Average</t>
  </si>
  <si>
    <t xml:space="preserve">Delivery Notes (Course Material)</t>
  </si>
  <si>
    <t xml:space="preserve">Communication &amp; Overall Coordination</t>
  </si>
  <si>
    <t xml:space="preserve">Classroom Facilities</t>
  </si>
  <si>
    <t xml:space="preserve">Relevance to your current job</t>
  </si>
  <si>
    <t xml:space="preserve">Basic Project Mnagement  Batch - 04  (Date: 9th to 11th Jun-2026 )</t>
  </si>
  <si>
    <t xml:space="preserve">Overall Program Feedback</t>
  </si>
  <si>
    <t xml:space="preserve">SL No</t>
  </si>
  <si>
    <t xml:space="preserve">Staff No</t>
  </si>
  <si>
    <t xml:space="preserve">What are the other quality training programs you want us to add in training calender ?</t>
  </si>
  <si>
    <t xml:space="preserve">Any Suggestions for the future program ?</t>
  </si>
  <si>
    <t xml:space="preserve">-</t>
  </si>
  <si>
    <t xml:space="preserve">UG</t>
  </si>
  <si>
    <t xml:space="preserve">SS</t>
  </si>
  <si>
    <t xml:space="preserve">PJ</t>
  </si>
  <si>
    <t xml:space="preserve">NR</t>
  </si>
  <si>
    <t xml:space="preserve">JK</t>
  </si>
  <si>
    <t xml:space="preserve">502104N</t>
  </si>
  <si>
    <t xml:space="preserve">DAY 1
(20-07-2026)</t>
  </si>
  <si>
    <t xml:space="preserve">Reliability Planning 
(Mr Umesh Ghimirey, 
Sr.DGM (QM/BAE))</t>
  </si>
  <si>
    <t xml:space="preserve">Reliability Testing 
(Mr Surendra Singh
DGM (QM/BAE))</t>
  </si>
  <si>
    <t xml:space="preserve">DAY 2
(21-07-2026)</t>
  </si>
  <si>
    <t xml:space="preserve">Reliability Testing  
(Mr Umesh Ghimirey, 
Sr.DGM (QM/BAE))</t>
  </si>
  <si>
    <t xml:space="preserve">Reliability Testing 
(Mr Narendra S,
MGR (BG/PDIC))</t>
  </si>
  <si>
    <t xml:space="preserve">DAY 3
(22-07-2026)</t>
  </si>
  <si>
    <t xml:space="preserve">Reliability Modelling  
(Mr Umesh Ghimirey, 
Sr.DGM (QM/BAE))</t>
  </si>
  <si>
    <t xml:space="preserve">Quiz on CRE
(Mr Umesh Ghimirey, 
Sr.DGM (QM/BAE))</t>
  </si>
  <si>
    <t xml:space="preserve">Relevance of the Quiz to the Topics</t>
  </si>
  <si>
    <t xml:space="preserve">Innovativeness in Presentation Method</t>
  </si>
  <si>
    <t xml:space="preserve">Quiz Master's Effectiveness</t>
  </si>
  <si>
    <t xml:space="preserve">Overall impresion of the Quiz in Learning</t>
  </si>
  <si>
    <t xml:space="preserve">Failure Models
(Mr. Faiz Ahmed Siddiqui
(MGR/MILCOM))</t>
  </si>
  <si>
    <t xml:space="preserve">DAY 4
(23-07-2026)</t>
  </si>
  <si>
    <t xml:space="preserve">Reliability Prediction Methods, Design Prototype
(Mrs Pidathal Jahnavi
DM (BG/MS))</t>
  </si>
  <si>
    <t xml:space="preserve">Reliability Design Techniques &amp;
Parts and Systems Development
(Mr. Faiz Ahmed Siddiqui
(MGR/MILCOM))</t>
  </si>
  <si>
    <t xml:space="preserve">DAY 5
(24-07-2026)</t>
  </si>
  <si>
    <t xml:space="preserve">Reliability Design Techniques
(DOE)
(Mr Surendra Singh
DGM (QM/BAE))</t>
  </si>
  <si>
    <t xml:space="preserve">Maintainability
'(Mr Jagadeesh Kumar R )</t>
  </si>
  <si>
    <t xml:space="preserve">OVERALL FEEDBACK</t>
  </si>
  <si>
    <t xml:space="preserve">Avr</t>
  </si>
  <si>
    <t xml:space="preserve">Certified Reliability Engineer - 30  (Date: 20th to 25th Jun-2026 )</t>
  </si>
  <si>
    <t xml:space="preserve">Reorganization of Course material of Module 2 as per topic flow.</t>
  </si>
  <si>
    <t xml:space="preserve">Module-2 slides were not aligned, which created some confusion.</t>
  </si>
  <si>
    <t xml:space="preserve">Focus on complex topics with practical examples for better concept understanding.</t>
  </si>
  <si>
    <t xml:space="preserve">Explain the background of Formulas to provide better context ("feel").</t>
  </si>
  <si>
    <t xml:space="preserve">Duration for complex topics like DOE &amp; Reliability Modelling can be increased.</t>
  </si>
  <si>
    <t xml:space="preserve">Please provide soft copy of class ppt notes.</t>
  </si>
  <si>
    <t xml:space="preserve">Continue the Good Work.</t>
  </si>
  <si>
    <t xml:space="preserve">NS</t>
  </si>
  <si>
    <t xml:space="preserve">FA</t>
  </si>
  <si>
    <t xml:space="preserve">        BEL Academy for Excellence </t>
  </si>
  <si>
    <t xml:space="preserve">Certified Reliability Engineer Training Program - Batch 30
Module 2 : 20th - 25th July 2026 (Tungabhadra Hall at Nalanda:BAE, Bengaluru)</t>
  </si>
  <si>
    <t xml:space="preserve"> 
 Course Co-ordinator:     Umesh Ghimirey, Sr.DGM (QM/BAE)
                                          </t>
  </si>
  <si>
    <t xml:space="preserve">Session Time</t>
  </si>
  <si>
    <t xml:space="preserve">Session /  Knowledge Area</t>
  </si>
  <si>
    <t xml:space="preserve">Name of The Faculty</t>
  </si>
  <si>
    <t xml:space="preserve">1)   08:30 --- 10:00</t>
  </si>
  <si>
    <t xml:space="preserve">Reliability Planning </t>
  </si>
  <si>
    <t xml:space="preserve">Mr. Umesh Ghimirey,
Sr.DGM (QM/BAE)</t>
  </si>
  <si>
    <t xml:space="preserve">2)   10:15 --- 11:30</t>
  </si>
  <si>
    <t xml:space="preserve">3)   11:45 --- 12:45</t>
  </si>
  <si>
    <t xml:space="preserve">Reliability Testing </t>
  </si>
  <si>
    <t xml:space="preserve">Mr. Surendra Singh, 
DGM (QM/BAE)</t>
  </si>
  <si>
    <t xml:space="preserve">4)   13:30 --- 14:45</t>
  </si>
  <si>
    <t xml:space="preserve">5)   15:00 --- 16:50</t>
  </si>
  <si>
    <t xml:space="preserve">Mr. Narendra S, 
MGR/PDIC</t>
  </si>
  <si>
    <t xml:space="preserve">Reliability Modelling  </t>
  </si>
  <si>
    <t xml:space="preserve">Failure Models</t>
  </si>
  <si>
    <t xml:space="preserve">Mr. Faiz Ahmed Siddiqui
MGR/MILCOM</t>
  </si>
  <si>
    <t xml:space="preserve">Reliability Prediction Methods, Design Prototype</t>
  </si>
  <si>
    <t xml:space="preserve">Mrs. Pidathala Jahnavi (DM/MS)</t>
  </si>
  <si>
    <t xml:space="preserve">
2)   10:15 --- 11:30</t>
  </si>
  <si>
    <t xml:space="preserve">Reliability Design Techniques &amp;
Parts and Systems Development</t>
  </si>
  <si>
    <t xml:space="preserve">Mr. Faiz Ahmed Siddiqui (MGR/MILCOM)</t>
  </si>
  <si>
    <t xml:space="preserve">Reliability Design Techniques
(DOE)</t>
  </si>
  <si>
    <t xml:space="preserve">Maintainability</t>
  </si>
  <si>
    <t xml:space="preserve">Mr. Jagadeesh K R
External Faculty</t>
  </si>
  <si>
    <t xml:space="preserve">1)   08:30 --- 09:15</t>
  </si>
  <si>
    <t xml:space="preserve">Quiz on CRE</t>
  </si>
  <si>
    <t xml:space="preserve">2)   09:15 --- 10:30</t>
  </si>
  <si>
    <t xml:space="preserve">Revision &amp; Exam Briefing</t>
  </si>
  <si>
    <t xml:space="preserve">3)   10:30 --- 12:45</t>
  </si>
  <si>
    <t xml:space="preserve">Training Assessment-2</t>
  </si>
  <si>
    <t xml:space="preserve">4)   13:30 --- 16:50</t>
  </si>
  <si>
    <t xml:space="preserve">Discussion on Assessment-2</t>
  </si>
  <si>
    <t xml:space="preserve">Tea/Coffee Break (15 Minutes)</t>
  </si>
  <si>
    <t xml:space="preserve">[I - 10:00 to 10:15] [II - 11:30 to 11:45]
 [III - 14:45 to 15:00]</t>
  </si>
  <si>
    <t xml:space="preserve">Lunch Break (45 Minutes)</t>
  </si>
  <si>
    <t xml:space="preserve">12:45-13:30 Hrs</t>
  </si>
  <si>
    <t xml:space="preserve">
Sr.DGM &amp; Head Quality Wing</t>
  </si>
  <si>
    <t xml:space="preserve">CC:
AGM &amp; Head BAE
All Concerned Faculties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</si>
</sst>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General"/>
    <numFmt numFmtId="168" formatCode="@"/>
    <numFmt numFmtId="169" formatCode="m/d/yyyy"/>
    <numFmt numFmtId="170" formatCode="[$-F800]dddd&quot;, &quot;mmmm\ dd&quot;, &quot;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6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Book Antiqua"/>
      <family val="1"/>
      <charset val="1"/>
    </font>
    <font>
      <sz val="12"/>
      <name val="Book Antiqua"/>
      <family val="1"/>
      <charset val="1"/>
    </font>
    <font>
      <sz val="11"/>
      <color theme="1"/>
      <name val="Book Antiqua"/>
      <family val="1"/>
      <charset val="1"/>
    </font>
    <font>
      <b val="true"/>
      <sz val="14"/>
      <color theme="1"/>
      <name val="Calibri"/>
      <family val="2"/>
      <charset val="1"/>
    </font>
    <font>
      <sz val="10"/>
      <color rgb="FF000000"/>
      <name val="Calibri"/>
      <family val="2"/>
    </font>
    <font>
      <sz val="10"/>
      <color theme="1"/>
      <name val="Calibri"/>
      <family val="0"/>
      <charset val="1"/>
    </font>
    <font>
      <b val="true"/>
      <sz val="10"/>
      <name val="Arial"/>
      <family val="0"/>
      <charset val="1"/>
    </font>
    <font>
      <sz val="20"/>
      <name val="Lucida Bright"/>
      <family val="1"/>
      <charset val="1"/>
    </font>
    <font>
      <b val="true"/>
      <sz val="12"/>
      <name val="Lucida Bright"/>
      <family val="1"/>
      <charset val="1"/>
    </font>
    <font>
      <b val="true"/>
      <sz val="12"/>
      <color rgb="FFFF0000"/>
      <name val="Lucida Bright"/>
      <family val="1"/>
      <charset val="1"/>
    </font>
    <font>
      <sz val="12"/>
      <color theme="1"/>
      <name val="Lucida Bright"/>
      <family val="1"/>
      <charset val="1"/>
    </font>
    <font>
      <sz val="12"/>
      <name val="Lucida Bright"/>
      <family val="1"/>
      <charset val="1"/>
    </font>
    <font>
      <b val="true"/>
      <sz val="11"/>
      <color theme="1"/>
      <name val="Lucida Bright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AABAD7"/>
      </patternFill>
    </fill>
    <fill>
      <patternFill patternType="solid">
        <fgColor theme="8" tint="0.7999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878787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distributed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2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4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5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25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26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2" xfId="22"/>
  </cellStyles>
  <dxfs count="8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 patternType="solid">
          <fgColor rgb="FF7793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AABAD7"/>
      <rgbColor rgb="FF878787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7933c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Sheet1!$A$1:$E$1</c:f>
              <c:strCache>
                <c:ptCount val="5"/>
                <c:pt idx="0">
                  <c:v>UG</c:v>
                </c:pt>
                <c:pt idx="1">
                  <c:v>SS</c:v>
                </c:pt>
                <c:pt idx="2">
                  <c:v>PJ</c:v>
                </c:pt>
                <c:pt idx="3">
                  <c:v>NR</c:v>
                </c:pt>
                <c:pt idx="4">
                  <c:v>JK</c:v>
                </c:pt>
              </c:strCache>
            </c:strRef>
          </c:cat>
          <c:val>
            <c:numRef>
              <c:f>Sheet1!$A$17:$E$17</c:f>
              <c:numCache>
                <c:formatCode>0.0</c:formatCode>
                <c:ptCount val="5"/>
                <c:pt idx="0">
                  <c:v>9.42105263157895</c:v>
                </c:pt>
                <c:pt idx="1">
                  <c:v>9.14035087719298</c:v>
                </c:pt>
                <c:pt idx="2">
                  <c:v>8.8</c:v>
                </c:pt>
                <c:pt idx="3">
                  <c:v>9.37368421052632</c:v>
                </c:pt>
                <c:pt idx="4">
                  <c:v>8.69473684210526</c:v>
                </c:pt>
              </c:numCache>
            </c:numRef>
          </c:val>
        </c:ser>
        <c:gapWidth val="150"/>
        <c:overlap val="0"/>
        <c:axId val="14342543"/>
        <c:axId val="6205074"/>
      </c:barChart>
      <c:catAx>
        <c:axId val="143425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5074"/>
        <c:crosses val="autoZero"/>
        <c:auto val="1"/>
        <c:lblAlgn val="ctr"/>
        <c:lblOffset val="100"/>
        <c:noMultiLvlLbl val="0"/>
      </c:catAx>
      <c:valAx>
        <c:axId val="6205074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4254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31062690562951"/>
          <c:y val="0.121311875152402"/>
          <c:w val="0.876254926749461"/>
          <c:h val="0.7894415996098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aabad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'Sheet 2'!$B$4:$G$4</c:f>
              <c:strCache>
                <c:ptCount val="6"/>
                <c:pt idx="0">
                  <c:v>UG</c:v>
                </c:pt>
                <c:pt idx="1">
                  <c:v>SS</c:v>
                </c:pt>
                <c:pt idx="2">
                  <c:v>NS</c:v>
                </c:pt>
                <c:pt idx="3">
                  <c:v>PJ</c:v>
                </c:pt>
                <c:pt idx="4">
                  <c:v>FA</c:v>
                </c:pt>
                <c:pt idx="5">
                  <c:v>JK</c:v>
                </c:pt>
              </c:strCache>
            </c:strRef>
          </c:cat>
          <c:val>
            <c:numRef>
              <c:f>'Sheet 2'!$B$17:$G$17</c:f>
              <c:numCache>
                <c:formatCode>General</c:formatCode>
                <c:ptCount val="6"/>
                <c:pt idx="0">
                  <c:v>9.65</c:v>
                </c:pt>
                <c:pt idx="1">
                  <c:v>9.28</c:v>
                </c:pt>
                <c:pt idx="2">
                  <c:v>9.22</c:v>
                </c:pt>
                <c:pt idx="3">
                  <c:v>9.07</c:v>
                </c:pt>
                <c:pt idx="4">
                  <c:v>8.97</c:v>
                </c:pt>
                <c:pt idx="5">
                  <c:v>7.33</c:v>
                </c:pt>
              </c:numCache>
            </c:numRef>
          </c:val>
        </c:ser>
        <c:gapWidth val="150"/>
        <c:overlap val="0"/>
        <c:axId val="22541909"/>
        <c:axId val="9498554"/>
      </c:barChart>
      <c:catAx>
        <c:axId val="225419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8554"/>
        <c:crosses val="autoZero"/>
        <c:auto val="1"/>
        <c:lblAlgn val="ctr"/>
        <c:lblOffset val="100"/>
        <c:noMultiLvlLbl val="0"/>
      </c:catAx>
      <c:valAx>
        <c:axId val="9498554"/>
        <c:scaling>
          <c:orientation val="minMax"/>
          <c:max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41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1985400</xdr:colOff>
      <xdr:row>0</xdr:row>
      <xdr:rowOff>111960</xdr:rowOff>
    </xdr:from>
    <xdr:to>
      <xdr:col>12</xdr:col>
      <xdr:colOff>738720</xdr:colOff>
      <xdr:row>0</xdr:row>
      <xdr:rowOff>1332720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5870160" y="111960"/>
          <a:ext cx="9707400" cy="1220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333360</xdr:colOff>
      <xdr:row>9</xdr:row>
      <xdr:rowOff>9360</xdr:rowOff>
    </xdr:from>
    <xdr:to>
      <xdr:col>15</xdr:col>
      <xdr:colOff>27720</xdr:colOff>
      <xdr:row>23</xdr:row>
      <xdr:rowOff>27720</xdr:rowOff>
    </xdr:to>
    <xdr:graphicFrame>
      <xdr:nvGraphicFramePr>
        <xdr:cNvPr id="1" name="Chart 1"/>
        <xdr:cNvGraphicFramePr/>
      </xdr:nvGraphicFramePr>
      <xdr:xfrm>
        <a:off x="5418360" y="1724040"/>
        <a:ext cx="45864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1985400</xdr:colOff>
      <xdr:row>0</xdr:row>
      <xdr:rowOff>111960</xdr:rowOff>
    </xdr:from>
    <xdr:to>
      <xdr:col>12</xdr:col>
      <xdr:colOff>172800</xdr:colOff>
      <xdr:row>0</xdr:row>
      <xdr:rowOff>1332720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5870160" y="111960"/>
          <a:ext cx="9141480" cy="1220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314280</xdr:colOff>
      <xdr:row>2</xdr:row>
      <xdr:rowOff>38160</xdr:rowOff>
    </xdr:from>
    <xdr:to>
      <xdr:col>15</xdr:col>
      <xdr:colOff>8640</xdr:colOff>
      <xdr:row>17</xdr:row>
      <xdr:rowOff>132840</xdr:rowOff>
    </xdr:to>
    <xdr:graphicFrame>
      <xdr:nvGraphicFramePr>
        <xdr:cNvPr id="3" name="Chart 1"/>
        <xdr:cNvGraphicFramePr/>
      </xdr:nvGraphicFramePr>
      <xdr:xfrm>
        <a:off x="5617800" y="419040"/>
        <a:ext cx="4840560" cy="295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1436040</xdr:colOff>
      <xdr:row>1</xdr:row>
      <xdr:rowOff>0</xdr:rowOff>
    </xdr:from>
    <xdr:to>
      <xdr:col>3</xdr:col>
      <xdr:colOff>1436760</xdr:colOff>
      <xdr:row>1</xdr:row>
      <xdr:rowOff>193680</xdr:rowOff>
    </xdr:to>
    <xdr:pic>
      <xdr:nvPicPr>
        <xdr:cNvPr id="4" name="Picture 5" descr=""/>
        <xdr:cNvPicPr/>
      </xdr:nvPicPr>
      <xdr:blipFill>
        <a:blip r:embed="rId1"/>
        <a:stretch/>
      </xdr:blipFill>
      <xdr:spPr>
        <a:xfrm>
          <a:off x="8080200" y="324000"/>
          <a:ext cx="720" cy="19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2048760</xdr:colOff>
      <xdr:row>0</xdr:row>
      <xdr:rowOff>171360</xdr:rowOff>
    </xdr:from>
    <xdr:to>
      <xdr:col>3</xdr:col>
      <xdr:colOff>2050560</xdr:colOff>
      <xdr:row>1</xdr:row>
      <xdr:rowOff>58320</xdr:rowOff>
    </xdr:to>
    <xdr:pic>
      <xdr:nvPicPr>
        <xdr:cNvPr id="5" name="Picture 6" descr=""/>
        <xdr:cNvPicPr/>
      </xdr:nvPicPr>
      <xdr:blipFill>
        <a:blip r:embed="rId2"/>
        <a:stretch/>
      </xdr:blipFill>
      <xdr:spPr>
        <a:xfrm>
          <a:off x="8692920" y="171360"/>
          <a:ext cx="1800" cy="2109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E17" headerRowCount="1" totalsRowCount="0" totalsRowShown="0">
  <tableColumns count="5">
    <tableColumn id="1" name="UG"/>
    <tableColumn id="2" name="SS"/>
    <tableColumn id="3" name="PJ"/>
    <tableColumn id="4" name="NR"/>
    <tableColumn id="5" name="JK"/>
  </tableColumns>
</table>
</file>

<file path=xl/tables/table2.xml><?xml version="1.0" encoding="utf-8"?>
<table xmlns="http://schemas.openxmlformats.org/spreadsheetml/2006/main" id="2" name="Table3" displayName="Table3" ref="B4:G17" headerRowCount="1" totalsRowCount="0" totalsRowShown="0">
  <tableColumns count="6">
    <tableColumn id="1" name="UG"/>
    <tableColumn id="2" name="SS"/>
    <tableColumn id="3" name="NS"/>
    <tableColumn id="4" name="PJ"/>
    <tableColumn id="5" name="FA"/>
    <tableColumn id="6" name="J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6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pane xSplit="3" ySplit="2" topLeftCell="D45" activePane="bottomRight" state="frozen"/>
      <selection pane="topLeft" activeCell="A4" activeCellId="0" sqref="A4"/>
      <selection pane="topRight" activeCell="D4" activeCellId="0" sqref="D4"/>
      <selection pane="bottomLeft" activeCell="A45" activeCellId="0" sqref="A45"/>
      <selection pane="bottomRight" activeCell="E59" activeCellId="0" sqref="E5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1" width="39"/>
    <col collapsed="false" customWidth="true" hidden="false" outlineLevel="0" max="3" min="3" style="1" width="53"/>
    <col collapsed="false" customWidth="true" hidden="false" outlineLevel="0" max="22" min="4" style="1" width="11.38"/>
    <col collapsed="false" customWidth="true" hidden="false" outlineLevel="0" max="23" min="23" style="1" width="7.88"/>
    <col collapsed="false" customWidth="true" hidden="false" outlineLevel="0" max="24" min="24" style="1" width="18.25"/>
  </cols>
  <sheetData>
    <row r="1" customFormat="false" ht="106.5" hidden="false" customHeight="true" outlineLevel="0" collapsed="false"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</row>
    <row r="2" customFormat="false" ht="26.25" hidden="false" customHeight="true" outlineLevel="0" collapsed="false">
      <c r="A2" s="6"/>
      <c r="B2" s="6" t="s">
        <v>0</v>
      </c>
      <c r="C2" s="7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customFormat="false" ht="18" hidden="false" customHeight="true" outlineLevel="0" collapsed="false">
      <c r="A3" s="8"/>
      <c r="B3" s="8" t="s">
        <v>2</v>
      </c>
      <c r="C3" s="9" t="s">
        <v>3</v>
      </c>
      <c r="D3" s="10" t="s">
        <v>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customFormat="false" ht="18" hidden="false" customHeight="true" outlineLevel="0" collapsed="false">
      <c r="A4" s="11" t="s">
        <v>5</v>
      </c>
      <c r="B4" s="11" t="s">
        <v>6</v>
      </c>
      <c r="C4" s="12" t="s">
        <v>7</v>
      </c>
      <c r="D4" s="13" t="s">
        <v>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 t="s">
        <v>9</v>
      </c>
      <c r="X4" s="12" t="s">
        <v>10</v>
      </c>
    </row>
    <row r="5" customFormat="false" ht="36" hidden="false" customHeight="true" outlineLevel="0" collapsed="false">
      <c r="A5" s="11"/>
      <c r="B5" s="11"/>
      <c r="C5" s="11"/>
      <c r="D5" s="15" t="n">
        <v>218399</v>
      </c>
      <c r="E5" s="15" t="n">
        <v>216377</v>
      </c>
      <c r="F5" s="15" t="s">
        <v>11</v>
      </c>
      <c r="G5" s="15" t="n">
        <v>217755</v>
      </c>
      <c r="H5" s="15" t="n">
        <v>216676</v>
      </c>
      <c r="I5" s="15" t="s">
        <v>12</v>
      </c>
      <c r="J5" s="15" t="n">
        <v>216322</v>
      </c>
      <c r="K5" s="15" t="n">
        <v>216168</v>
      </c>
      <c r="L5" s="15" t="n">
        <v>214004</v>
      </c>
      <c r="M5" s="15" t="n">
        <v>218036</v>
      </c>
      <c r="N5" s="15" t="n">
        <v>217847</v>
      </c>
      <c r="O5" s="15" t="n">
        <v>218033</v>
      </c>
      <c r="P5" s="15" t="n">
        <v>216448</v>
      </c>
      <c r="Q5" s="15" t="n">
        <v>216442</v>
      </c>
      <c r="R5" s="15" t="n">
        <v>217689</v>
      </c>
      <c r="S5" s="15" t="n">
        <v>216449</v>
      </c>
      <c r="T5" s="15" t="n">
        <v>216452</v>
      </c>
      <c r="U5" s="15" t="n">
        <v>217770</v>
      </c>
      <c r="V5" s="15" t="n">
        <v>218114</v>
      </c>
      <c r="W5" s="14"/>
      <c r="X5" s="14"/>
    </row>
    <row r="6" customFormat="false" ht="19.5" hidden="false" customHeight="true" outlineLevel="0" collapsed="false">
      <c r="A6" s="16" t="s">
        <v>13</v>
      </c>
      <c r="B6" s="17" t="s">
        <v>14</v>
      </c>
      <c r="C6" s="18" t="s">
        <v>15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0" t="e">
        <f aca="false">AVERAGE(D6:V6)</f>
        <v>#DIV/0!</v>
      </c>
      <c r="X6" s="21" t="e">
        <f aca="false">IF(W6&gt;=8,"Excellent",IF(W6&gt;=6,"Very good",IF(W6&gt;=4,"Good",IF(W6&gt;=2,"Satisfactory",IF(W6&gt;=1,"Unsatisfactory")))))</f>
        <v>#DIV/0!</v>
      </c>
    </row>
    <row r="7" customFormat="false" ht="19.5" hidden="false" customHeight="true" outlineLevel="0" collapsed="false">
      <c r="A7" s="16"/>
      <c r="B7" s="16"/>
      <c r="C7" s="18" t="s">
        <v>16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 t="e">
        <f aca="false">AVERAGE(D7:V7)</f>
        <v>#DIV/0!</v>
      </c>
      <c r="X7" s="21" t="e">
        <f aca="false">IF(W7&gt;=8,"Excellent",IF(W7&gt;=6,"Very good",IF(W7&gt;=4,"Good",IF(W7&gt;=2,"Satisfactory",IF(W7&gt;=1,"Unsatisfactory")))))</f>
        <v>#DIV/0!</v>
      </c>
    </row>
    <row r="8" customFormat="false" ht="19.5" hidden="false" customHeight="true" outlineLevel="0" collapsed="false">
      <c r="A8" s="16"/>
      <c r="B8" s="16"/>
      <c r="C8" s="18" t="s">
        <v>17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 t="e">
        <f aca="false">AVERAGE(D8:V8)</f>
        <v>#DIV/0!</v>
      </c>
      <c r="X8" s="21" t="e">
        <f aca="false">IF(W8&gt;=8,"Excellent",IF(W8&gt;=6,"Very good",IF(W8&gt;=4,"Good",IF(W8&gt;=2,"Satisfactory",IF(W8&gt;=1,"Unsatisfactory")))))</f>
        <v>#DIV/0!</v>
      </c>
    </row>
    <row r="9" customFormat="false" ht="19.5" hidden="false" customHeight="true" outlineLevel="0" collapsed="false">
      <c r="A9" s="16"/>
      <c r="B9" s="16"/>
      <c r="C9" s="15" t="s">
        <v>18</v>
      </c>
      <c r="D9" s="15"/>
      <c r="E9" s="15"/>
      <c r="F9" s="15"/>
      <c r="G9" s="19"/>
      <c r="H9" s="15"/>
      <c r="I9" s="19"/>
      <c r="J9" s="19"/>
      <c r="K9" s="15"/>
      <c r="L9" s="15"/>
      <c r="M9" s="15"/>
      <c r="N9" s="19"/>
      <c r="O9" s="19"/>
      <c r="P9" s="19"/>
      <c r="Q9" s="19"/>
      <c r="R9" s="19"/>
      <c r="S9" s="19"/>
      <c r="T9" s="19"/>
      <c r="U9" s="19"/>
      <c r="V9" s="19"/>
      <c r="W9" s="20" t="e">
        <f aca="false">AVERAGE(D9:V9)</f>
        <v>#DIV/0!</v>
      </c>
      <c r="X9" s="21" t="e">
        <f aca="false">IF(W9&gt;=8,"Excellent",IF(W9&gt;=6,"Very good",IF(W9&gt;=4,"Good",IF(W9&gt;=2,"Satisfactory",IF(W9&gt;=1,"Unsatisfactory")))))</f>
        <v>#DIV/0!</v>
      </c>
    </row>
    <row r="10" customFormat="false" ht="19.5" hidden="false" customHeight="true" outlineLevel="0" collapsed="false">
      <c r="A10" s="16"/>
      <c r="B10" s="17"/>
      <c r="C10" s="15" t="s">
        <v>19</v>
      </c>
      <c r="D10" s="22"/>
      <c r="E10" s="22"/>
      <c r="F10" s="22"/>
      <c r="G10" s="19"/>
      <c r="H10" s="22"/>
      <c r="I10" s="19"/>
      <c r="J10" s="19"/>
      <c r="K10" s="22"/>
      <c r="L10" s="22"/>
      <c r="M10" s="22"/>
      <c r="N10" s="19"/>
      <c r="O10" s="19"/>
      <c r="P10" s="19"/>
      <c r="Q10" s="19"/>
      <c r="R10" s="19"/>
      <c r="S10" s="19"/>
      <c r="T10" s="19"/>
      <c r="U10" s="19"/>
      <c r="V10" s="19"/>
      <c r="W10" s="20" t="e">
        <f aca="false">AVERAGE(D10:V10)</f>
        <v>#DIV/0!</v>
      </c>
      <c r="X10" s="21" t="e">
        <f aca="false">IF(W10&gt;=8,"Excellent",IF(W10&gt;=6,"Very good",IF(W10&gt;=4,"Good",IF(W10&gt;=2,"Satisfactory",IF(W10&gt;=1,"Unsatisfactory")))))</f>
        <v>#DIV/0!</v>
      </c>
    </row>
    <row r="11" customFormat="false" ht="19.5" hidden="false" customHeight="true" outlineLevel="0" collapsed="false">
      <c r="A11" s="16"/>
      <c r="B11" s="17" t="s">
        <v>20</v>
      </c>
      <c r="C11" s="18" t="s">
        <v>15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 t="e">
        <f aca="false">AVERAGE(D11:V11)</f>
        <v>#DIV/0!</v>
      </c>
      <c r="X11" s="21" t="e">
        <f aca="false">IF(W11&gt;=8,"Excellent",IF(W11&gt;=6,"Very good",IF(W11&gt;=4,"Good",IF(W11&gt;=2,"Satisfactory",IF(W11&gt;=1,"Unsatisfactory")))))</f>
        <v>#DIV/0!</v>
      </c>
    </row>
    <row r="12" customFormat="false" ht="19.5" hidden="false" customHeight="true" outlineLevel="0" collapsed="false">
      <c r="A12" s="16"/>
      <c r="B12" s="16"/>
      <c r="C12" s="18" t="s">
        <v>16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0" t="e">
        <f aca="false">AVERAGE(D12:V12)</f>
        <v>#DIV/0!</v>
      </c>
      <c r="X12" s="21" t="e">
        <f aca="false">IF(W12&gt;=8,"Excellent",IF(W12&gt;=6,"Very good",IF(W12&gt;=4,"Good",IF(W12&gt;=2,"Satisfactory",IF(W12&gt;=1,"Unsatisfactory")))))</f>
        <v>#DIV/0!</v>
      </c>
    </row>
    <row r="13" customFormat="false" ht="19.5" hidden="false" customHeight="true" outlineLevel="0" collapsed="false">
      <c r="A13" s="16"/>
      <c r="B13" s="16"/>
      <c r="C13" s="18" t="s">
        <v>17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 t="e">
        <f aca="false">AVERAGE(D13:V13)</f>
        <v>#DIV/0!</v>
      </c>
      <c r="X13" s="21" t="e">
        <f aca="false">IF(W13&gt;=8,"Excellent",IF(W13&gt;=6,"Very good",IF(W13&gt;=4,"Good",IF(W13&gt;=2,"Satisfactory",IF(W13&gt;=1,"Unsatisfactory")))))</f>
        <v>#DIV/0!</v>
      </c>
    </row>
    <row r="14" customFormat="false" ht="19.5" hidden="false" customHeight="true" outlineLevel="0" collapsed="false">
      <c r="A14" s="16"/>
      <c r="B14" s="16"/>
      <c r="C14" s="15" t="s">
        <v>18</v>
      </c>
      <c r="D14" s="15"/>
      <c r="E14" s="15"/>
      <c r="F14" s="15"/>
      <c r="G14" s="19"/>
      <c r="H14" s="15"/>
      <c r="I14" s="19"/>
      <c r="J14" s="19"/>
      <c r="K14" s="15"/>
      <c r="L14" s="15"/>
      <c r="M14" s="15"/>
      <c r="N14" s="19"/>
      <c r="O14" s="19"/>
      <c r="P14" s="19"/>
      <c r="Q14" s="19"/>
      <c r="R14" s="19"/>
      <c r="S14" s="19"/>
      <c r="T14" s="19"/>
      <c r="U14" s="19"/>
      <c r="V14" s="19"/>
      <c r="W14" s="20" t="e">
        <f aca="false">AVERAGE(D14:V14)</f>
        <v>#DIV/0!</v>
      </c>
      <c r="X14" s="21" t="e">
        <f aca="false">IF(W14&gt;=8,"Excellent",IF(W14&gt;=6,"Very good",IF(W14&gt;=4,"Good",IF(W14&gt;=2,"Satisfactory",IF(W14&gt;=1,"Unsatisfactory")))))</f>
        <v>#DIV/0!</v>
      </c>
    </row>
    <row r="15" customFormat="false" ht="19.5" hidden="false" customHeight="true" outlineLevel="0" collapsed="false">
      <c r="A15" s="16"/>
      <c r="B15" s="16"/>
      <c r="C15" s="15" t="s">
        <v>19</v>
      </c>
      <c r="D15" s="22"/>
      <c r="E15" s="22"/>
      <c r="F15" s="22"/>
      <c r="G15" s="19"/>
      <c r="H15" s="22"/>
      <c r="I15" s="19"/>
      <c r="J15" s="19"/>
      <c r="K15" s="22"/>
      <c r="L15" s="22"/>
      <c r="M15" s="22"/>
      <c r="N15" s="19"/>
      <c r="O15" s="19"/>
      <c r="P15" s="19"/>
      <c r="Q15" s="19"/>
      <c r="R15" s="19"/>
      <c r="S15" s="19"/>
      <c r="T15" s="19"/>
      <c r="U15" s="19"/>
      <c r="V15" s="19"/>
      <c r="W15" s="20" t="e">
        <f aca="false">AVERAGE(D15:V15)</f>
        <v>#DIV/0!</v>
      </c>
      <c r="X15" s="21" t="e">
        <f aca="false">IF(W15&gt;=8,"Excellent",IF(W15&gt;=6,"Very good",IF(W15&gt;=4,"Good",IF(W15&gt;=2,"Satisfactory",IF(W15&gt;=1,"Unsatisfactory")))))</f>
        <v>#DIV/0!</v>
      </c>
    </row>
    <row r="16" customFormat="false" ht="19.5" hidden="false" customHeight="true" outlineLevel="0" collapsed="false">
      <c r="A16" s="16" t="s">
        <v>21</v>
      </c>
      <c r="B16" s="17" t="s">
        <v>22</v>
      </c>
      <c r="C16" s="18" t="s">
        <v>15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20" t="e">
        <f aca="false">AVERAGE(D16:V16)</f>
        <v>#DIV/0!</v>
      </c>
      <c r="X16" s="21" t="e">
        <f aca="false">IF(W16&gt;=8,"Excellent",IF(W16&gt;=6,"Very good",IF(W16&gt;=4,"Good",IF(W16&gt;=2,"Satisfactory",IF(W16&gt;=1,"Unsatisfactory")))))</f>
        <v>#DIV/0!</v>
      </c>
    </row>
    <row r="17" customFormat="false" ht="19.5" hidden="false" customHeight="true" outlineLevel="0" collapsed="false">
      <c r="A17" s="16"/>
      <c r="B17" s="16"/>
      <c r="C17" s="18" t="s">
        <v>16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20" t="e">
        <f aca="false">AVERAGE(D17:V17)</f>
        <v>#DIV/0!</v>
      </c>
      <c r="X17" s="21" t="e">
        <f aca="false">IF(W17&gt;=8,"Excellent",IF(W17&gt;=6,"Very good",IF(W17&gt;=4,"Good",IF(W17&gt;=2,"Satisfactory",IF(W17&gt;=1,"Unsatisfactory")))))</f>
        <v>#DIV/0!</v>
      </c>
    </row>
    <row r="18" customFormat="false" ht="19.5" hidden="false" customHeight="true" outlineLevel="0" collapsed="false">
      <c r="A18" s="16"/>
      <c r="B18" s="16"/>
      <c r="C18" s="18" t="s">
        <v>17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0" t="e">
        <f aca="false">AVERAGE(D18:V18)</f>
        <v>#DIV/0!</v>
      </c>
      <c r="X18" s="21" t="e">
        <f aca="false">IF(W18&gt;=8,"Excellent",IF(W18&gt;=6,"Very good",IF(W18&gt;=4,"Good",IF(W18&gt;=2,"Satisfactory",IF(W18&gt;=1,"Unsatisfactory")))))</f>
        <v>#DIV/0!</v>
      </c>
    </row>
    <row r="19" customFormat="false" ht="19.5" hidden="false" customHeight="true" outlineLevel="0" collapsed="false">
      <c r="A19" s="16"/>
      <c r="B19" s="16"/>
      <c r="C19" s="15" t="s">
        <v>18</v>
      </c>
      <c r="D19" s="15"/>
      <c r="E19" s="15"/>
      <c r="F19" s="19"/>
      <c r="G19" s="19"/>
      <c r="H19" s="15"/>
      <c r="I19" s="19"/>
      <c r="J19" s="19"/>
      <c r="K19" s="15"/>
      <c r="L19" s="15"/>
      <c r="M19" s="15"/>
      <c r="N19" s="19"/>
      <c r="O19" s="19"/>
      <c r="P19" s="19"/>
      <c r="Q19" s="19"/>
      <c r="R19" s="19"/>
      <c r="S19" s="19"/>
      <c r="T19" s="19"/>
      <c r="U19" s="19"/>
      <c r="V19" s="19"/>
      <c r="W19" s="20" t="e">
        <f aca="false">AVERAGE(D19:V19)</f>
        <v>#DIV/0!</v>
      </c>
      <c r="X19" s="21" t="e">
        <f aca="false">IF(W19&gt;=8,"Excellent",IF(W19&gt;=6,"Very good",IF(W19&gt;=4,"Good",IF(W19&gt;=2,"Satisfactory",IF(W19&gt;=1,"Unsatisfactory")))))</f>
        <v>#DIV/0!</v>
      </c>
    </row>
    <row r="20" customFormat="false" ht="19.5" hidden="false" customHeight="true" outlineLevel="0" collapsed="false">
      <c r="A20" s="16"/>
      <c r="B20" s="17"/>
      <c r="C20" s="15" t="s">
        <v>19</v>
      </c>
      <c r="D20" s="22"/>
      <c r="E20" s="22"/>
      <c r="F20" s="19"/>
      <c r="G20" s="19"/>
      <c r="H20" s="22"/>
      <c r="I20" s="19"/>
      <c r="J20" s="19"/>
      <c r="K20" s="22"/>
      <c r="L20" s="22"/>
      <c r="M20" s="22"/>
      <c r="N20" s="19"/>
      <c r="O20" s="19"/>
      <c r="P20" s="19"/>
      <c r="Q20" s="19"/>
      <c r="R20" s="19"/>
      <c r="S20" s="19"/>
      <c r="T20" s="19"/>
      <c r="U20" s="19"/>
      <c r="V20" s="19"/>
      <c r="W20" s="20" t="e">
        <f aca="false">AVERAGE(D20:V20)</f>
        <v>#DIV/0!</v>
      </c>
      <c r="X20" s="21" t="e">
        <f aca="false">IF(W20&gt;=8,"Excellent",IF(W20&gt;=6,"Very good",IF(W20&gt;=4,"Good",IF(W20&gt;=2,"Satisfactory",IF(W20&gt;=1,"Unsatisfactory")))))</f>
        <v>#DIV/0!</v>
      </c>
    </row>
    <row r="21" customFormat="false" ht="19.5" hidden="false" customHeight="true" outlineLevel="0" collapsed="false">
      <c r="A21" s="16"/>
      <c r="B21" s="17" t="s">
        <v>23</v>
      </c>
      <c r="C21" s="18" t="s">
        <v>15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20" t="e">
        <f aca="false">AVERAGE(D21:V21)</f>
        <v>#DIV/0!</v>
      </c>
      <c r="X21" s="21" t="e">
        <f aca="false">IF(W21&gt;=8,"Excellent",IF(W21&gt;=6,"Very good",IF(W21&gt;=4,"Good",IF(W21&gt;=2,"Satisfactory",IF(W21&gt;=1,"Unsatisfactory")))))</f>
        <v>#DIV/0!</v>
      </c>
    </row>
    <row r="22" customFormat="false" ht="19.5" hidden="false" customHeight="true" outlineLevel="0" collapsed="false">
      <c r="A22" s="16"/>
      <c r="B22" s="16"/>
      <c r="C22" s="18" t="s">
        <v>16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20" t="e">
        <f aca="false">AVERAGE(D22:V22)</f>
        <v>#DIV/0!</v>
      </c>
      <c r="X22" s="21" t="e">
        <f aca="false">IF(W22&gt;=8,"Excellent",IF(W22&gt;=6,"Very good",IF(W22&gt;=4,"Good",IF(W22&gt;=2,"Satisfactory",IF(W22&gt;=1,"Unsatisfactory")))))</f>
        <v>#DIV/0!</v>
      </c>
    </row>
    <row r="23" customFormat="false" ht="19.5" hidden="false" customHeight="true" outlineLevel="0" collapsed="false">
      <c r="A23" s="16"/>
      <c r="B23" s="16"/>
      <c r="C23" s="18" t="s">
        <v>17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20" t="e">
        <f aca="false">AVERAGE(D23:V23)</f>
        <v>#DIV/0!</v>
      </c>
      <c r="X23" s="21" t="e">
        <f aca="false">IF(W23&gt;=8,"Excellent",IF(W23&gt;=6,"Very good",IF(W23&gt;=4,"Good",IF(W23&gt;=2,"Satisfactory",IF(W23&gt;=1,"Unsatisfactory")))))</f>
        <v>#DIV/0!</v>
      </c>
    </row>
    <row r="24" customFormat="false" ht="19.5" hidden="false" customHeight="true" outlineLevel="0" collapsed="false">
      <c r="A24" s="16"/>
      <c r="B24" s="16"/>
      <c r="C24" s="15" t="s">
        <v>18</v>
      </c>
      <c r="D24" s="15"/>
      <c r="E24" s="15"/>
      <c r="F24" s="19"/>
      <c r="G24" s="19"/>
      <c r="H24" s="15"/>
      <c r="I24" s="19"/>
      <c r="J24" s="19"/>
      <c r="K24" s="15"/>
      <c r="L24" s="15"/>
      <c r="M24" s="15"/>
      <c r="N24" s="19"/>
      <c r="O24" s="19"/>
      <c r="P24" s="19"/>
      <c r="Q24" s="19"/>
      <c r="R24" s="19"/>
      <c r="S24" s="19"/>
      <c r="T24" s="19"/>
      <c r="U24" s="19"/>
      <c r="V24" s="19"/>
      <c r="W24" s="20" t="e">
        <f aca="false">AVERAGE(D24:V24)</f>
        <v>#DIV/0!</v>
      </c>
      <c r="X24" s="21" t="e">
        <f aca="false">IF(W24&gt;=8,"Excellent",IF(W24&gt;=6,"Very good",IF(W24&gt;=4,"Good",IF(W24&gt;=2,"Satisfactory",IF(W24&gt;=1,"Unsatisfactory")))))</f>
        <v>#DIV/0!</v>
      </c>
    </row>
    <row r="25" customFormat="false" ht="19.5" hidden="false" customHeight="true" outlineLevel="0" collapsed="false">
      <c r="A25" s="16"/>
      <c r="B25" s="16"/>
      <c r="C25" s="15" t="s">
        <v>19</v>
      </c>
      <c r="D25" s="22"/>
      <c r="E25" s="22"/>
      <c r="F25" s="19"/>
      <c r="G25" s="19"/>
      <c r="H25" s="22"/>
      <c r="I25" s="19"/>
      <c r="J25" s="19"/>
      <c r="K25" s="22"/>
      <c r="L25" s="22"/>
      <c r="M25" s="22"/>
      <c r="N25" s="19"/>
      <c r="O25" s="19"/>
      <c r="P25" s="19"/>
      <c r="Q25" s="19"/>
      <c r="R25" s="19"/>
      <c r="S25" s="19"/>
      <c r="T25" s="19"/>
      <c r="U25" s="19"/>
      <c r="V25" s="19"/>
      <c r="W25" s="20" t="e">
        <f aca="false">AVERAGE(D25:V25)</f>
        <v>#DIV/0!</v>
      </c>
      <c r="X25" s="21" t="e">
        <f aca="false">IF(W25&gt;=8,"Excellent",IF(W25&gt;=6,"Very good",IF(W25&gt;=4,"Good",IF(W25&gt;=2,"Satisfactory",IF(W25&gt;=1,"Unsatisfactory")))))</f>
        <v>#DIV/0!</v>
      </c>
    </row>
    <row r="26" customFormat="false" ht="19.5" hidden="false" customHeight="true" outlineLevel="0" collapsed="false">
      <c r="A26" s="16" t="s">
        <v>24</v>
      </c>
      <c r="B26" s="17" t="s">
        <v>22</v>
      </c>
      <c r="C26" s="18" t="s">
        <v>15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 t="e">
        <f aca="false">AVERAGE(D26:V26)</f>
        <v>#DIV/0!</v>
      </c>
      <c r="X26" s="21" t="e">
        <f aca="false">IF(W26&gt;=8,"Excellent",IF(W26&gt;=6,"Very good",IF(W26&gt;=4,"Good",IF(W26&gt;=2,"Satisfactory",IF(W26&gt;=1,"Unsatisfactory")))))</f>
        <v>#DIV/0!</v>
      </c>
    </row>
    <row r="27" customFormat="false" ht="19.5" hidden="false" customHeight="true" outlineLevel="0" collapsed="false">
      <c r="A27" s="16"/>
      <c r="B27" s="16"/>
      <c r="C27" s="18" t="s">
        <v>16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 t="e">
        <f aca="false">AVERAGE(D27:V27)</f>
        <v>#DIV/0!</v>
      </c>
      <c r="X27" s="21" t="e">
        <f aca="false">IF(W27&gt;=8,"Excellent",IF(W27&gt;=6,"Very good",IF(W27&gt;=4,"Good",IF(W27&gt;=2,"Satisfactory",IF(W27&gt;=1,"Unsatisfactory")))))</f>
        <v>#DIV/0!</v>
      </c>
    </row>
    <row r="28" customFormat="false" ht="19.5" hidden="false" customHeight="true" outlineLevel="0" collapsed="false">
      <c r="A28" s="16"/>
      <c r="B28" s="16"/>
      <c r="C28" s="18" t="s">
        <v>17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0" t="e">
        <f aca="false">AVERAGE(D28:V28)</f>
        <v>#DIV/0!</v>
      </c>
      <c r="X28" s="21" t="e">
        <f aca="false">IF(W28&gt;=8,"Excellent",IF(W28&gt;=6,"Very good",IF(W28&gt;=4,"Good",IF(W28&gt;=2,"Satisfactory",IF(W28&gt;=1,"Unsatisfactory")))))</f>
        <v>#DIV/0!</v>
      </c>
    </row>
    <row r="29" customFormat="false" ht="19.5" hidden="false" customHeight="true" outlineLevel="0" collapsed="false">
      <c r="A29" s="16"/>
      <c r="B29" s="16"/>
      <c r="C29" s="15" t="s">
        <v>18</v>
      </c>
      <c r="D29" s="15"/>
      <c r="E29" s="15"/>
      <c r="F29" s="19"/>
      <c r="G29" s="19"/>
      <c r="H29" s="15"/>
      <c r="I29" s="19"/>
      <c r="J29" s="19"/>
      <c r="K29" s="15"/>
      <c r="L29" s="19"/>
      <c r="M29" s="15"/>
      <c r="N29" s="19"/>
      <c r="O29" s="19"/>
      <c r="P29" s="19"/>
      <c r="Q29" s="19"/>
      <c r="R29" s="19"/>
      <c r="S29" s="19"/>
      <c r="T29" s="19"/>
      <c r="U29" s="19"/>
      <c r="V29" s="19"/>
      <c r="W29" s="20" t="e">
        <f aca="false">AVERAGE(D29:V29)</f>
        <v>#DIV/0!</v>
      </c>
      <c r="X29" s="21" t="e">
        <f aca="false">IF(W29&gt;=8,"Excellent",IF(W29&gt;=6,"Very good",IF(W29&gt;=4,"Good",IF(W29&gt;=2,"Satisfactory",IF(W29&gt;=1,"Unsatisfactory")))))</f>
        <v>#DIV/0!</v>
      </c>
    </row>
    <row r="30" customFormat="false" ht="19.5" hidden="false" customHeight="true" outlineLevel="0" collapsed="false">
      <c r="A30" s="16"/>
      <c r="B30" s="17"/>
      <c r="C30" s="15" t="s">
        <v>19</v>
      </c>
      <c r="D30" s="22"/>
      <c r="E30" s="22"/>
      <c r="F30" s="19"/>
      <c r="G30" s="19"/>
      <c r="H30" s="22"/>
      <c r="I30" s="19"/>
      <c r="J30" s="19"/>
      <c r="K30" s="22"/>
      <c r="L30" s="19"/>
      <c r="M30" s="22"/>
      <c r="N30" s="19"/>
      <c r="O30" s="19"/>
      <c r="P30" s="19"/>
      <c r="Q30" s="19"/>
      <c r="R30" s="19"/>
      <c r="S30" s="19"/>
      <c r="T30" s="19"/>
      <c r="U30" s="19"/>
      <c r="V30" s="19"/>
      <c r="W30" s="20" t="e">
        <f aca="false">AVERAGE(D30:V30)</f>
        <v>#DIV/0!</v>
      </c>
      <c r="X30" s="21" t="e">
        <f aca="false">IF(W30&gt;=8,"Excellent",IF(W30&gt;=6,"Very good",IF(W30&gt;=4,"Good",IF(W30&gt;=2,"Satisfactory",IF(W30&gt;=1,"Unsatisfactory")))))</f>
        <v>#DIV/0!</v>
      </c>
    </row>
    <row r="31" customFormat="false" ht="19.5" hidden="false" customHeight="true" outlineLevel="0" collapsed="false">
      <c r="A31" s="16"/>
      <c r="B31" s="17" t="s">
        <v>25</v>
      </c>
      <c r="C31" s="18" t="s">
        <v>15</v>
      </c>
      <c r="D31" s="19"/>
      <c r="E31" s="19"/>
      <c r="F31" s="19"/>
      <c r="G31" s="19"/>
      <c r="H31" s="19"/>
      <c r="I31" s="19"/>
      <c r="J31" s="19"/>
      <c r="K31" s="19"/>
      <c r="L31" s="19"/>
      <c r="M31" s="22"/>
      <c r="N31" s="19"/>
      <c r="O31" s="19"/>
      <c r="P31" s="19"/>
      <c r="Q31" s="19"/>
      <c r="R31" s="19"/>
      <c r="S31" s="19"/>
      <c r="T31" s="19"/>
      <c r="U31" s="19"/>
      <c r="V31" s="19"/>
      <c r="W31" s="20" t="e">
        <f aca="false">AVERAGE(D31:V31)</f>
        <v>#DIV/0!</v>
      </c>
      <c r="X31" s="21" t="e">
        <f aca="false">IF(W31&gt;=8,"Excellent",IF(W31&gt;=6,"Very good",IF(W31&gt;=4,"Good",IF(W31&gt;=2,"Satisfactory",IF(W31&gt;=1,"Unsatisfactory")))))</f>
        <v>#DIV/0!</v>
      </c>
    </row>
    <row r="32" customFormat="false" ht="19.5" hidden="false" customHeight="true" outlineLevel="0" collapsed="false">
      <c r="A32" s="16"/>
      <c r="B32" s="16"/>
      <c r="C32" s="18" t="s">
        <v>16</v>
      </c>
      <c r="D32" s="19"/>
      <c r="E32" s="19"/>
      <c r="F32" s="19"/>
      <c r="G32" s="19"/>
      <c r="H32" s="19"/>
      <c r="I32" s="19"/>
      <c r="J32" s="19"/>
      <c r="K32" s="19"/>
      <c r="L32" s="19"/>
      <c r="M32" s="22"/>
      <c r="N32" s="19"/>
      <c r="O32" s="19"/>
      <c r="P32" s="19"/>
      <c r="Q32" s="19"/>
      <c r="R32" s="19"/>
      <c r="S32" s="19"/>
      <c r="T32" s="19"/>
      <c r="U32" s="19"/>
      <c r="V32" s="19"/>
      <c r="W32" s="20" t="e">
        <f aca="false">AVERAGE(D32:V32)</f>
        <v>#DIV/0!</v>
      </c>
      <c r="X32" s="21" t="e">
        <f aca="false">IF(W32&gt;=8,"Excellent",IF(W32&gt;=6,"Very good",IF(W32&gt;=4,"Good",IF(W32&gt;=2,"Satisfactory",IF(W32&gt;=1,"Unsatisfactory")))))</f>
        <v>#DIV/0!</v>
      </c>
    </row>
    <row r="33" customFormat="false" ht="19.5" hidden="false" customHeight="true" outlineLevel="0" collapsed="false">
      <c r="A33" s="16"/>
      <c r="B33" s="16"/>
      <c r="C33" s="18" t="s">
        <v>17</v>
      </c>
      <c r="D33" s="15"/>
      <c r="E33" s="15"/>
      <c r="F33" s="19"/>
      <c r="G33" s="19"/>
      <c r="H33" s="15"/>
      <c r="I33" s="19"/>
      <c r="J33" s="19"/>
      <c r="K33" s="15"/>
      <c r="L33" s="19"/>
      <c r="M33" s="22"/>
      <c r="N33" s="19"/>
      <c r="O33" s="19"/>
      <c r="P33" s="19"/>
      <c r="Q33" s="19"/>
      <c r="R33" s="19"/>
      <c r="S33" s="19"/>
      <c r="T33" s="19"/>
      <c r="U33" s="19"/>
      <c r="V33" s="19"/>
      <c r="W33" s="20" t="e">
        <f aca="false">AVERAGE(D33:V33)</f>
        <v>#DIV/0!</v>
      </c>
      <c r="X33" s="21" t="e">
        <f aca="false">IF(W33&gt;=8,"Excellent",IF(W33&gt;=6,"Very good",IF(W33&gt;=4,"Good",IF(W33&gt;=2,"Satisfactory",IF(W33&gt;=1,"Unsatisfactory")))))</f>
        <v>#DIV/0!</v>
      </c>
    </row>
    <row r="34" customFormat="false" ht="19.5" hidden="false" customHeight="true" outlineLevel="0" collapsed="false">
      <c r="A34" s="16"/>
      <c r="B34" s="16"/>
      <c r="C34" s="15" t="s">
        <v>18</v>
      </c>
      <c r="D34" s="15"/>
      <c r="E34" s="15"/>
      <c r="F34" s="19"/>
      <c r="G34" s="19"/>
      <c r="H34" s="15"/>
      <c r="I34" s="19"/>
      <c r="J34" s="19"/>
      <c r="K34" s="15"/>
      <c r="L34" s="19"/>
      <c r="M34" s="22"/>
      <c r="N34" s="19"/>
      <c r="O34" s="19"/>
      <c r="P34" s="19"/>
      <c r="Q34" s="19"/>
      <c r="R34" s="19"/>
      <c r="S34" s="19"/>
      <c r="T34" s="19"/>
      <c r="U34" s="19"/>
      <c r="V34" s="19"/>
      <c r="W34" s="20" t="e">
        <f aca="false">AVERAGE(D34:V34)</f>
        <v>#DIV/0!</v>
      </c>
      <c r="X34" s="21" t="e">
        <f aca="false">IF(W34&gt;=8,"Excellent",IF(W34&gt;=6,"Very good",IF(W34&gt;=4,"Good",IF(W34&gt;=2,"Satisfactory",IF(W34&gt;=1,"Unsatisfactory")))))</f>
        <v>#DIV/0!</v>
      </c>
    </row>
    <row r="35" customFormat="false" ht="19.5" hidden="false" customHeight="true" outlineLevel="0" collapsed="false">
      <c r="A35" s="16"/>
      <c r="B35" s="16"/>
      <c r="C35" s="15" t="s">
        <v>19</v>
      </c>
      <c r="D35" s="22"/>
      <c r="E35" s="22"/>
      <c r="F35" s="19"/>
      <c r="G35" s="19"/>
      <c r="H35" s="22"/>
      <c r="I35" s="19"/>
      <c r="J35" s="19"/>
      <c r="K35" s="22"/>
      <c r="L35" s="19"/>
      <c r="M35" s="22"/>
      <c r="N35" s="19"/>
      <c r="O35" s="19"/>
      <c r="P35" s="19"/>
      <c r="Q35" s="19"/>
      <c r="R35" s="19"/>
      <c r="S35" s="19"/>
      <c r="T35" s="19"/>
      <c r="U35" s="19"/>
      <c r="V35" s="19"/>
      <c r="W35" s="20" t="e">
        <f aca="false">AVERAGE(D35:V35)</f>
        <v>#DIV/0!</v>
      </c>
      <c r="X35" s="21" t="e">
        <f aca="false">IF(W35&gt;=8,"Excellent",IF(W35&gt;=6,"Very good",IF(W35&gt;=4,"Good",IF(W35&gt;=2,"Satisfactory",IF(W35&gt;=1,"Unsatisfactory")))))</f>
        <v>#DIV/0!</v>
      </c>
    </row>
    <row r="36" customFormat="false" ht="19.5" hidden="false" customHeight="true" outlineLevel="0" collapsed="false">
      <c r="A36" s="16" t="s">
        <v>26</v>
      </c>
      <c r="B36" s="17" t="s">
        <v>27</v>
      </c>
      <c r="C36" s="18" t="s">
        <v>15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 t="e">
        <f aca="false">AVERAGE(D36:V36)</f>
        <v>#DIV/0!</v>
      </c>
      <c r="X36" s="21" t="e">
        <f aca="false">IF(W36&gt;=8,"Excellent",IF(W36&gt;=6,"Very good",IF(W36&gt;=4,"Good",IF(W36&gt;=2,"Satisfactory",IF(W36&gt;=1,"Unsatisfactory")))))</f>
        <v>#DIV/0!</v>
      </c>
    </row>
    <row r="37" customFormat="false" ht="19.5" hidden="false" customHeight="true" outlineLevel="0" collapsed="false">
      <c r="A37" s="16"/>
      <c r="B37" s="16"/>
      <c r="C37" s="18" t="s">
        <v>16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 t="e">
        <f aca="false">AVERAGE(D37:V37)</f>
        <v>#DIV/0!</v>
      </c>
      <c r="X37" s="21" t="e">
        <f aca="false">IF(W37&gt;=8,"Excellent",IF(W37&gt;=6,"Very good",IF(W37&gt;=4,"Good",IF(W37&gt;=2,"Satisfactory",IF(W37&gt;=1,"Unsatisfactory")))))</f>
        <v>#DIV/0!</v>
      </c>
    </row>
    <row r="38" customFormat="false" ht="19.5" hidden="false" customHeight="true" outlineLevel="0" collapsed="false">
      <c r="A38" s="16"/>
      <c r="B38" s="16"/>
      <c r="C38" s="18" t="s">
        <v>17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0" t="e">
        <f aca="false">AVERAGE(D38:V38)</f>
        <v>#DIV/0!</v>
      </c>
      <c r="X38" s="21" t="e">
        <f aca="false">IF(W38&gt;=8,"Excellent",IF(W38&gt;=6,"Very good",IF(W38&gt;=4,"Good",IF(W38&gt;=2,"Satisfactory",IF(W38&gt;=1,"Unsatisfactory")))))</f>
        <v>#DIV/0!</v>
      </c>
    </row>
    <row r="39" customFormat="false" ht="19.5" hidden="false" customHeight="true" outlineLevel="0" collapsed="false">
      <c r="A39" s="16"/>
      <c r="B39" s="16"/>
      <c r="C39" s="15" t="s">
        <v>18</v>
      </c>
      <c r="D39" s="15"/>
      <c r="E39" s="15"/>
      <c r="F39" s="15"/>
      <c r="G39" s="19"/>
      <c r="H39" s="15"/>
      <c r="I39" s="19"/>
      <c r="J39" s="19"/>
      <c r="K39" s="15"/>
      <c r="L39" s="19"/>
      <c r="M39" s="15"/>
      <c r="N39" s="19"/>
      <c r="O39" s="19"/>
      <c r="P39" s="19"/>
      <c r="Q39" s="19"/>
      <c r="R39" s="19"/>
      <c r="S39" s="19"/>
      <c r="T39" s="19"/>
      <c r="U39" s="19"/>
      <c r="V39" s="19"/>
      <c r="W39" s="20" t="e">
        <f aca="false">AVERAGE(D39:V39)</f>
        <v>#DIV/0!</v>
      </c>
      <c r="X39" s="21" t="e">
        <f aca="false">IF(W39&gt;=8,"Excellent",IF(W39&gt;=6,"Very good",IF(W39&gt;=4,"Good",IF(W39&gt;=2,"Satisfactory",IF(W39&gt;=1,"Unsatisfactory")))))</f>
        <v>#DIV/0!</v>
      </c>
    </row>
    <row r="40" customFormat="false" ht="19.5" hidden="false" customHeight="true" outlineLevel="0" collapsed="false">
      <c r="A40" s="16"/>
      <c r="B40" s="17"/>
      <c r="C40" s="15" t="s">
        <v>19</v>
      </c>
      <c r="D40" s="22"/>
      <c r="E40" s="22"/>
      <c r="F40" s="22"/>
      <c r="G40" s="19"/>
      <c r="H40" s="22"/>
      <c r="I40" s="19"/>
      <c r="J40" s="19"/>
      <c r="K40" s="22"/>
      <c r="L40" s="19"/>
      <c r="M40" s="22"/>
      <c r="N40" s="19"/>
      <c r="O40" s="19"/>
      <c r="P40" s="19"/>
      <c r="Q40" s="19"/>
      <c r="R40" s="19"/>
      <c r="S40" s="19"/>
      <c r="T40" s="19"/>
      <c r="U40" s="19"/>
      <c r="V40" s="19"/>
      <c r="W40" s="20" t="e">
        <f aca="false">AVERAGE(D40:V40)</f>
        <v>#DIV/0!</v>
      </c>
      <c r="X40" s="21" t="e">
        <f aca="false">IF(W40&gt;=8,"Excellent",IF(W40&gt;=6,"Very good",IF(W40&gt;=4,"Good",IF(W40&gt;=2,"Satisfactory",IF(W40&gt;=1,"Unsatisfactory")))))</f>
        <v>#DIV/0!</v>
      </c>
    </row>
    <row r="41" customFormat="false" ht="19.5" hidden="false" customHeight="true" outlineLevel="0" collapsed="false">
      <c r="A41" s="16"/>
      <c r="B41" s="17" t="s">
        <v>28</v>
      </c>
      <c r="C41" s="18" t="s">
        <v>15</v>
      </c>
      <c r="D41" s="19"/>
      <c r="E41" s="19"/>
      <c r="F41" s="19"/>
      <c r="G41" s="19"/>
      <c r="H41" s="19"/>
      <c r="I41" s="19"/>
      <c r="J41" s="19"/>
      <c r="K41" s="19"/>
      <c r="L41" s="19"/>
      <c r="M41" s="22"/>
      <c r="N41" s="19"/>
      <c r="O41" s="19"/>
      <c r="P41" s="19"/>
      <c r="Q41" s="19"/>
      <c r="R41" s="19"/>
      <c r="S41" s="19"/>
      <c r="T41" s="19"/>
      <c r="U41" s="19"/>
      <c r="V41" s="19"/>
      <c r="W41" s="20" t="e">
        <f aca="false">AVERAGE(D41:V41)</f>
        <v>#DIV/0!</v>
      </c>
      <c r="X41" s="21" t="e">
        <f aca="false">IF(W41&gt;=8,"Excellent",IF(W41&gt;=6,"Very good",IF(W41&gt;=4,"Good",IF(W41&gt;=2,"Satisfactory",IF(W41&gt;=1,"Unsatisfactory")))))</f>
        <v>#DIV/0!</v>
      </c>
    </row>
    <row r="42" customFormat="false" ht="19.5" hidden="false" customHeight="true" outlineLevel="0" collapsed="false">
      <c r="A42" s="16"/>
      <c r="B42" s="16"/>
      <c r="C42" s="18" t="s">
        <v>16</v>
      </c>
      <c r="D42" s="19"/>
      <c r="E42" s="19"/>
      <c r="F42" s="19"/>
      <c r="G42" s="19"/>
      <c r="H42" s="19"/>
      <c r="I42" s="19"/>
      <c r="J42" s="19"/>
      <c r="K42" s="19"/>
      <c r="L42" s="19"/>
      <c r="M42" s="22"/>
      <c r="N42" s="19"/>
      <c r="O42" s="19"/>
      <c r="P42" s="19"/>
      <c r="Q42" s="19"/>
      <c r="R42" s="19"/>
      <c r="S42" s="19"/>
      <c r="T42" s="19"/>
      <c r="U42" s="19"/>
      <c r="V42" s="19"/>
      <c r="W42" s="20" t="e">
        <f aca="false">AVERAGE(D42:V42)</f>
        <v>#DIV/0!</v>
      </c>
      <c r="X42" s="21" t="e">
        <f aca="false">IF(W42&gt;=8,"Excellent",IF(W42&gt;=6,"Very good",IF(W42&gt;=4,"Good",IF(W42&gt;=2,"Satisfactory",IF(W42&gt;=1,"Unsatisfactory")))))</f>
        <v>#DIV/0!</v>
      </c>
    </row>
    <row r="43" customFormat="false" ht="19.5" hidden="false" customHeight="true" outlineLevel="0" collapsed="false">
      <c r="A43" s="16"/>
      <c r="B43" s="16"/>
      <c r="C43" s="18" t="s">
        <v>17</v>
      </c>
      <c r="D43" s="15"/>
      <c r="E43" s="15"/>
      <c r="F43" s="15"/>
      <c r="G43" s="19"/>
      <c r="H43" s="15"/>
      <c r="I43" s="19"/>
      <c r="J43" s="19"/>
      <c r="K43" s="15"/>
      <c r="L43" s="19"/>
      <c r="M43" s="22"/>
      <c r="N43" s="19"/>
      <c r="O43" s="19"/>
      <c r="P43" s="19"/>
      <c r="Q43" s="19"/>
      <c r="R43" s="19"/>
      <c r="S43" s="19"/>
      <c r="T43" s="19"/>
      <c r="U43" s="19"/>
      <c r="V43" s="19"/>
      <c r="W43" s="20" t="e">
        <f aca="false">AVERAGE(D43:V43)</f>
        <v>#DIV/0!</v>
      </c>
      <c r="X43" s="21" t="e">
        <f aca="false">IF(W43&gt;=8,"Excellent",IF(W43&gt;=6,"Very good",IF(W43&gt;=4,"Good",IF(W43&gt;=2,"Satisfactory",IF(W43&gt;=1,"Unsatisfactory")))))</f>
        <v>#DIV/0!</v>
      </c>
    </row>
    <row r="44" customFormat="false" ht="19.5" hidden="false" customHeight="true" outlineLevel="0" collapsed="false">
      <c r="A44" s="16"/>
      <c r="B44" s="16"/>
      <c r="C44" s="15" t="s">
        <v>18</v>
      </c>
      <c r="D44" s="15"/>
      <c r="E44" s="15"/>
      <c r="F44" s="15"/>
      <c r="G44" s="19"/>
      <c r="H44" s="15"/>
      <c r="I44" s="19"/>
      <c r="J44" s="19"/>
      <c r="K44" s="15"/>
      <c r="L44" s="19"/>
      <c r="M44" s="22"/>
      <c r="N44" s="19"/>
      <c r="O44" s="19"/>
      <c r="P44" s="19"/>
      <c r="Q44" s="19"/>
      <c r="R44" s="19"/>
      <c r="S44" s="19"/>
      <c r="T44" s="19"/>
      <c r="U44" s="19"/>
      <c r="V44" s="19"/>
      <c r="W44" s="20" t="e">
        <f aca="false">AVERAGE(D44:V44)</f>
        <v>#DIV/0!</v>
      </c>
      <c r="X44" s="21" t="e">
        <f aca="false">IF(W44&gt;=8,"Excellent",IF(W44&gt;=6,"Very good",IF(W44&gt;=4,"Good",IF(W44&gt;=2,"Satisfactory",IF(W44&gt;=1,"Unsatisfactory")))))</f>
        <v>#DIV/0!</v>
      </c>
    </row>
    <row r="45" customFormat="false" ht="19.5" hidden="false" customHeight="true" outlineLevel="0" collapsed="false">
      <c r="A45" s="16"/>
      <c r="B45" s="16"/>
      <c r="C45" s="15" t="s">
        <v>19</v>
      </c>
      <c r="D45" s="22"/>
      <c r="E45" s="22"/>
      <c r="F45" s="22"/>
      <c r="G45" s="19"/>
      <c r="H45" s="22"/>
      <c r="I45" s="19"/>
      <c r="J45" s="19"/>
      <c r="K45" s="22"/>
      <c r="L45" s="19"/>
      <c r="M45" s="22"/>
      <c r="N45" s="19"/>
      <c r="O45" s="19"/>
      <c r="P45" s="19"/>
      <c r="Q45" s="19"/>
      <c r="R45" s="19"/>
      <c r="S45" s="19"/>
      <c r="T45" s="19"/>
      <c r="U45" s="19"/>
      <c r="V45" s="19"/>
      <c r="W45" s="20" t="e">
        <f aca="false">AVERAGE(D45:V45)</f>
        <v>#DIV/0!</v>
      </c>
      <c r="X45" s="21" t="e">
        <f aca="false">IF(W45&gt;=8,"Excellent",IF(W45&gt;=6,"Very good",IF(W45&gt;=4,"Good",IF(W45&gt;=2,"Satisfactory",IF(W45&gt;=1,"Unsatisfactory")))))</f>
        <v>#DIV/0!</v>
      </c>
    </row>
    <row r="46" customFormat="false" ht="19.5" hidden="false" customHeight="true" outlineLevel="0" collapsed="false">
      <c r="A46" s="16" t="s">
        <v>29</v>
      </c>
      <c r="B46" s="17" t="s">
        <v>28</v>
      </c>
      <c r="C46" s="18" t="s">
        <v>15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20" t="e">
        <f aca="false">AVERAGE(D46:V46)</f>
        <v>#DIV/0!</v>
      </c>
      <c r="X46" s="21" t="e">
        <f aca="false">IF(W46&gt;=8,"Excellent",IF(W46&gt;=6,"Very good",IF(W46&gt;=4,"Good",IF(W46&gt;=2,"Satisfactory",IF(W46&gt;=1,"Unsatisfactory")))))</f>
        <v>#DIV/0!</v>
      </c>
    </row>
    <row r="47" customFormat="false" ht="19.5" hidden="false" customHeight="true" outlineLevel="0" collapsed="false">
      <c r="A47" s="16"/>
      <c r="B47" s="16"/>
      <c r="C47" s="18" t="s">
        <v>16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0" t="e">
        <f aca="false">AVERAGE(D47:V47)</f>
        <v>#DIV/0!</v>
      </c>
      <c r="X47" s="21" t="e">
        <f aca="false">IF(W47&gt;=8,"Excellent",IF(W47&gt;=6,"Very good",IF(W47&gt;=4,"Good",IF(W47&gt;=2,"Satisfactory",IF(W47&gt;=1,"Unsatisfactory")))))</f>
        <v>#DIV/0!</v>
      </c>
    </row>
    <row r="48" customFormat="false" ht="19.5" hidden="false" customHeight="true" outlineLevel="0" collapsed="false">
      <c r="A48" s="16"/>
      <c r="B48" s="16"/>
      <c r="C48" s="18" t="s">
        <v>17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 t="e">
        <f aca="false">AVERAGE(D48:V48)</f>
        <v>#DIV/0!</v>
      </c>
      <c r="X48" s="21" t="e">
        <f aca="false">IF(W48&gt;=8,"Excellent",IF(W48&gt;=6,"Very good",IF(W48&gt;=4,"Good",IF(W48&gt;=2,"Satisfactory",IF(W48&gt;=1,"Unsatisfactory")))))</f>
        <v>#DIV/0!</v>
      </c>
    </row>
    <row r="49" customFormat="false" ht="19.5" hidden="false" customHeight="true" outlineLevel="0" collapsed="false">
      <c r="A49" s="16"/>
      <c r="B49" s="16"/>
      <c r="C49" s="15" t="s">
        <v>18</v>
      </c>
      <c r="D49" s="15"/>
      <c r="E49" s="15"/>
      <c r="F49" s="15"/>
      <c r="G49" s="19"/>
      <c r="H49" s="15"/>
      <c r="I49" s="19"/>
      <c r="J49" s="19"/>
      <c r="K49" s="15"/>
      <c r="L49" s="19"/>
      <c r="M49" s="15"/>
      <c r="N49" s="19"/>
      <c r="O49" s="19"/>
      <c r="P49" s="19"/>
      <c r="Q49" s="19"/>
      <c r="R49" s="19"/>
      <c r="S49" s="19"/>
      <c r="T49" s="19"/>
      <c r="U49" s="19"/>
      <c r="V49" s="19"/>
      <c r="W49" s="20" t="e">
        <f aca="false">AVERAGE(D49:V49)</f>
        <v>#DIV/0!</v>
      </c>
      <c r="X49" s="21" t="e">
        <f aca="false">IF(W49&gt;=8,"Excellent",IF(W49&gt;=6,"Very good",IF(W49&gt;=4,"Good",IF(W49&gt;=2,"Satisfactory",IF(W49&gt;=1,"Unsatisfactory")))))</f>
        <v>#DIV/0!</v>
      </c>
    </row>
    <row r="50" customFormat="false" ht="19.5" hidden="false" customHeight="true" outlineLevel="0" collapsed="false">
      <c r="A50" s="16"/>
      <c r="B50" s="17"/>
      <c r="C50" s="15" t="s">
        <v>19</v>
      </c>
      <c r="D50" s="22"/>
      <c r="E50" s="22"/>
      <c r="F50" s="22"/>
      <c r="G50" s="19"/>
      <c r="H50" s="22"/>
      <c r="I50" s="19"/>
      <c r="J50" s="19"/>
      <c r="K50" s="22"/>
      <c r="L50" s="19"/>
      <c r="M50" s="22"/>
      <c r="N50" s="19"/>
      <c r="O50" s="19"/>
      <c r="P50" s="19"/>
      <c r="Q50" s="19"/>
      <c r="R50" s="19"/>
      <c r="S50" s="19"/>
      <c r="T50" s="19"/>
      <c r="U50" s="19"/>
      <c r="V50" s="19"/>
      <c r="W50" s="20" t="e">
        <f aca="false">AVERAGE(D50:V50)</f>
        <v>#DIV/0!</v>
      </c>
      <c r="X50" s="21" t="e">
        <f aca="false">IF(W50&gt;=8,"Excellent",IF(W50&gt;=6,"Very good",IF(W50&gt;=4,"Good",IF(W50&gt;=2,"Satisfactory",IF(W50&gt;=1,"Unsatisfactory")))))</f>
        <v>#DIV/0!</v>
      </c>
    </row>
    <row r="51" customFormat="false" ht="19.5" hidden="false" customHeight="true" outlineLevel="0" collapsed="false">
      <c r="A51" s="16"/>
      <c r="B51" s="17" t="s">
        <v>30</v>
      </c>
      <c r="C51" s="18" t="s">
        <v>15</v>
      </c>
      <c r="D51" s="19"/>
      <c r="E51" s="19"/>
      <c r="F51" s="19"/>
      <c r="G51" s="19"/>
      <c r="H51" s="19"/>
      <c r="I51" s="19"/>
      <c r="J51" s="19"/>
      <c r="K51" s="19"/>
      <c r="L51" s="19"/>
      <c r="M51" s="22"/>
      <c r="N51" s="19"/>
      <c r="O51" s="19"/>
      <c r="P51" s="19"/>
      <c r="Q51" s="19"/>
      <c r="R51" s="19"/>
      <c r="S51" s="19"/>
      <c r="T51" s="19"/>
      <c r="U51" s="19"/>
      <c r="V51" s="19"/>
      <c r="W51" s="20" t="e">
        <f aca="false">AVERAGE(D51:V51)</f>
        <v>#DIV/0!</v>
      </c>
      <c r="X51" s="21" t="e">
        <f aca="false">IF(W51&gt;=8,"Excellent",IF(W51&gt;=6,"Very good",IF(W51&gt;=4,"Good",IF(W51&gt;=2,"Satisfactory",IF(W51&gt;=1,"Unsatisfactory")))))</f>
        <v>#DIV/0!</v>
      </c>
    </row>
    <row r="52" customFormat="false" ht="19.5" hidden="false" customHeight="true" outlineLevel="0" collapsed="false">
      <c r="A52" s="16"/>
      <c r="B52" s="16"/>
      <c r="C52" s="18" t="s">
        <v>16</v>
      </c>
      <c r="D52" s="19"/>
      <c r="E52" s="19"/>
      <c r="F52" s="19"/>
      <c r="G52" s="19"/>
      <c r="H52" s="19"/>
      <c r="I52" s="19"/>
      <c r="J52" s="19"/>
      <c r="K52" s="19"/>
      <c r="L52" s="19"/>
      <c r="M52" s="22"/>
      <c r="N52" s="19"/>
      <c r="O52" s="19"/>
      <c r="P52" s="19"/>
      <c r="Q52" s="19"/>
      <c r="R52" s="19"/>
      <c r="S52" s="19"/>
      <c r="T52" s="19"/>
      <c r="U52" s="19"/>
      <c r="V52" s="19"/>
      <c r="W52" s="20" t="e">
        <f aca="false">AVERAGE(D52:V52)</f>
        <v>#DIV/0!</v>
      </c>
      <c r="X52" s="21" t="e">
        <f aca="false">IF(W52&gt;=8,"Excellent",IF(W52&gt;=6,"Very good",IF(W52&gt;=4,"Good",IF(W52&gt;=2,"Satisfactory",IF(W52&gt;=1,"Unsatisfactory")))))</f>
        <v>#DIV/0!</v>
      </c>
    </row>
    <row r="53" customFormat="false" ht="19.5" hidden="false" customHeight="true" outlineLevel="0" collapsed="false">
      <c r="A53" s="16"/>
      <c r="B53" s="16"/>
      <c r="C53" s="18" t="s">
        <v>17</v>
      </c>
      <c r="D53" s="15"/>
      <c r="E53" s="15"/>
      <c r="F53" s="15"/>
      <c r="G53" s="19"/>
      <c r="H53" s="15"/>
      <c r="I53" s="19"/>
      <c r="J53" s="19"/>
      <c r="K53" s="15"/>
      <c r="L53" s="19"/>
      <c r="M53" s="22"/>
      <c r="N53" s="19"/>
      <c r="O53" s="19"/>
      <c r="P53" s="19"/>
      <c r="Q53" s="19"/>
      <c r="R53" s="19"/>
      <c r="S53" s="19"/>
      <c r="T53" s="19"/>
      <c r="U53" s="19"/>
      <c r="V53" s="19"/>
      <c r="W53" s="20" t="e">
        <f aca="false">AVERAGE(D53:V53)</f>
        <v>#DIV/0!</v>
      </c>
      <c r="X53" s="21" t="e">
        <f aca="false">IF(W53&gt;=8,"Excellent",IF(W53&gt;=6,"Very good",IF(W53&gt;=4,"Good",IF(W53&gt;=2,"Satisfactory",IF(W53&gt;=1,"Unsatisfactory")))))</f>
        <v>#DIV/0!</v>
      </c>
    </row>
    <row r="54" customFormat="false" ht="19.5" hidden="false" customHeight="true" outlineLevel="0" collapsed="false">
      <c r="A54" s="16"/>
      <c r="B54" s="16"/>
      <c r="C54" s="15" t="s">
        <v>18</v>
      </c>
      <c r="D54" s="15"/>
      <c r="E54" s="15"/>
      <c r="F54" s="15"/>
      <c r="G54" s="19"/>
      <c r="H54" s="15"/>
      <c r="I54" s="19"/>
      <c r="J54" s="19"/>
      <c r="K54" s="15"/>
      <c r="L54" s="19"/>
      <c r="M54" s="22"/>
      <c r="N54" s="19"/>
      <c r="O54" s="19"/>
      <c r="P54" s="19"/>
      <c r="Q54" s="19"/>
      <c r="R54" s="19"/>
      <c r="S54" s="19"/>
      <c r="T54" s="19"/>
      <c r="U54" s="19"/>
      <c r="V54" s="19"/>
      <c r="W54" s="20" t="e">
        <f aca="false">AVERAGE(D54:V54)</f>
        <v>#DIV/0!</v>
      </c>
      <c r="X54" s="21" t="e">
        <f aca="false">IF(W54&gt;=8,"Excellent",IF(W54&gt;=6,"Very good",IF(W54&gt;=4,"Good",IF(W54&gt;=2,"Satisfactory",IF(W54&gt;=1,"Unsatisfactory")))))</f>
        <v>#DIV/0!</v>
      </c>
    </row>
    <row r="55" customFormat="false" ht="19.5" hidden="false" customHeight="true" outlineLevel="0" collapsed="false">
      <c r="A55" s="16"/>
      <c r="B55" s="16"/>
      <c r="C55" s="15" t="s">
        <v>19</v>
      </c>
      <c r="D55" s="22"/>
      <c r="E55" s="22"/>
      <c r="F55" s="22"/>
      <c r="G55" s="19"/>
      <c r="H55" s="22"/>
      <c r="I55" s="19"/>
      <c r="J55" s="19"/>
      <c r="K55" s="22"/>
      <c r="L55" s="19"/>
      <c r="M55" s="22"/>
      <c r="N55" s="19"/>
      <c r="O55" s="19"/>
      <c r="P55" s="19"/>
      <c r="Q55" s="19"/>
      <c r="R55" s="19"/>
      <c r="S55" s="19"/>
      <c r="T55" s="19"/>
      <c r="U55" s="19"/>
      <c r="V55" s="19"/>
      <c r="W55" s="20" t="e">
        <f aca="false">AVERAGE(D55:V55)</f>
        <v>#DIV/0!</v>
      </c>
      <c r="X55" s="21" t="e">
        <f aca="false">IF(W55&gt;=8,"Excellent",IF(W55&gt;=6,"Very good",IF(W55&gt;=4,"Good",IF(W55&gt;=2,"Satisfactory",IF(W55&gt;=1,"Unsatisfactory")))))</f>
        <v>#DIV/0!</v>
      </c>
    </row>
    <row r="59" customFormat="false" ht="59.25" hidden="false" customHeight="true" outlineLevel="0" collapsed="false">
      <c r="A59" s="23"/>
      <c r="B59" s="17" t="s">
        <v>31</v>
      </c>
      <c r="C59" s="17"/>
      <c r="D59" s="24"/>
      <c r="E59" s="25"/>
      <c r="F59" s="26"/>
      <c r="G59" s="25"/>
      <c r="H59" s="25"/>
      <c r="I59" s="25"/>
      <c r="J59" s="25"/>
      <c r="K59" s="27"/>
      <c r="L59" s="27"/>
      <c r="M59" s="28"/>
      <c r="N59" s="25"/>
      <c r="O59" s="27"/>
      <c r="P59" s="27"/>
      <c r="Q59" s="27"/>
      <c r="R59" s="25"/>
      <c r="S59" s="25"/>
      <c r="T59" s="25"/>
      <c r="U59" s="25"/>
      <c r="V59" s="28"/>
      <c r="W59" s="29"/>
      <c r="X59" s="30"/>
    </row>
    <row r="60" customFormat="false" ht="55.5" hidden="false" customHeight="true" outlineLevel="0" collapsed="false">
      <c r="A60" s="23"/>
      <c r="B60" s="17" t="s">
        <v>32</v>
      </c>
      <c r="C60" s="17"/>
      <c r="D60" s="25"/>
      <c r="E60" s="25"/>
      <c r="F60" s="25"/>
      <c r="G60" s="25"/>
      <c r="H60" s="25"/>
      <c r="I60" s="27"/>
      <c r="J60" s="25"/>
      <c r="K60" s="25"/>
      <c r="L60" s="25"/>
      <c r="M60" s="25"/>
      <c r="N60" s="25"/>
      <c r="O60" s="25"/>
      <c r="P60" s="25"/>
      <c r="Q60" s="25"/>
      <c r="R60" s="25"/>
      <c r="S60" s="27"/>
      <c r="T60" s="27"/>
      <c r="U60" s="25"/>
      <c r="V60" s="27"/>
      <c r="W60" s="29"/>
      <c r="X60" s="30"/>
    </row>
    <row r="61" customFormat="false" ht="15.75" hidden="false" customHeight="true" outlineLevel="0" collapsed="false">
      <c r="E61" s="31"/>
      <c r="G61" s="1" t="s">
        <v>33</v>
      </c>
      <c r="K61" s="31"/>
    </row>
    <row r="62" customFormat="false" ht="15.75" hidden="false" customHeight="true" outlineLevel="0" collapsed="false">
      <c r="J62" s="32"/>
      <c r="K62" s="33"/>
    </row>
    <row r="63" customFormat="false" ht="15.75" hidden="false" customHeight="true" outlineLevel="0" collapsed="false">
      <c r="C63" s="34" t="s">
        <v>34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customFormat="false" ht="15.75" hidden="false" customHeight="true" outlineLevel="0" collapsed="false">
      <c r="C64" s="35" t="s">
        <v>35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customFormat="false" ht="15.75" hidden="false" customHeight="true" outlineLevel="0" collapsed="false">
      <c r="C65" s="36" t="s">
        <v>36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customFormat="false" ht="15.75" hidden="false" customHeight="true" outlineLevel="0" collapsed="false">
      <c r="C66" s="37" t="s">
        <v>37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customFormat="false" ht="15.75" hidden="false" customHeight="true" outlineLevel="0" collapsed="false">
      <c r="C67" s="38" t="s">
        <v>38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6.5" hidden="false" customHeight="true" outlineLevel="0" collapsed="false"/>
    <row r="77" customFormat="false" ht="15.75" hidden="false" customHeight="true" outlineLevel="0" collapsed="false"/>
    <row r="78" customFormat="false" ht="16.5" hidden="false" customHeight="true" outlineLevel="0" collapsed="false"/>
    <row r="79" customFormat="false" ht="15.75" hidden="false" customHeight="true" outlineLevel="0" collapsed="false"/>
    <row r="80" customFormat="false" ht="12.75" hidden="false" customHeight="true" outlineLevel="0" collapsed="false"/>
    <row r="81" customFormat="false" ht="13.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</sheetData>
  <mergeCells count="30">
    <mergeCell ref="C2:X2"/>
    <mergeCell ref="D3:X3"/>
    <mergeCell ref="A4:A5"/>
    <mergeCell ref="B4:B5"/>
    <mergeCell ref="C4:C5"/>
    <mergeCell ref="D4:V4"/>
    <mergeCell ref="W4:W5"/>
    <mergeCell ref="X4:X5"/>
    <mergeCell ref="A6:A15"/>
    <mergeCell ref="B6:B10"/>
    <mergeCell ref="B11:B15"/>
    <mergeCell ref="A16:A25"/>
    <mergeCell ref="B16:B20"/>
    <mergeCell ref="B21:B25"/>
    <mergeCell ref="A26:A35"/>
    <mergeCell ref="B26:B30"/>
    <mergeCell ref="B31:B35"/>
    <mergeCell ref="A36:A45"/>
    <mergeCell ref="B36:B40"/>
    <mergeCell ref="B41:B45"/>
    <mergeCell ref="A46:A55"/>
    <mergeCell ref="B46:B50"/>
    <mergeCell ref="B51:B55"/>
    <mergeCell ref="B59:C59"/>
    <mergeCell ref="B60:C60"/>
    <mergeCell ref="C63:V63"/>
    <mergeCell ref="C64:V64"/>
    <mergeCell ref="C65:V65"/>
    <mergeCell ref="C66:V66"/>
    <mergeCell ref="C67:V67"/>
  </mergeCells>
  <conditionalFormatting sqref="X46:X55">
    <cfRule type="cellIs" priority="2" operator="equal" aboveAverage="0" equalAverage="0" bottom="0" percent="0" rank="0" text="" dxfId="0">
      <formula>"Unsatisfactory"</formula>
    </cfRule>
    <cfRule type="cellIs" priority="3" operator="equal" aboveAverage="0" equalAverage="0" bottom="0" percent="0" rank="0" text="" dxfId="1">
      <formula>"Satisfactory"</formula>
    </cfRule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"Very good"</formula>
    </cfRule>
    <cfRule type="cellIs" priority="6" operator="equal" aboveAverage="0" equalAverage="0" bottom="0" percent="0" rank="0" text="" dxfId="4">
      <formula>"Excellent"</formula>
    </cfRule>
  </conditionalFormatting>
  <conditionalFormatting sqref="X36:X45">
    <cfRule type="cellIs" priority="7" operator="equal" aboveAverage="0" equalAverage="0" bottom="0" percent="0" rank="0" text="" dxfId="0">
      <formula>"Unsatisfactory"</formula>
    </cfRule>
    <cfRule type="cellIs" priority="8" operator="equal" aboveAverage="0" equalAverage="0" bottom="0" percent="0" rank="0" text="" dxfId="1">
      <formula>"Satisfactory"</formula>
    </cfRule>
    <cfRule type="cellIs" priority="9" operator="equal" aboveAverage="0" equalAverage="0" bottom="0" percent="0" rank="0" text="" dxfId="2">
      <formula>"Good"</formula>
    </cfRule>
    <cfRule type="cellIs" priority="10" operator="equal" aboveAverage="0" equalAverage="0" bottom="0" percent="0" rank="0" text="" dxfId="3">
      <formula>"Very good"</formula>
    </cfRule>
    <cfRule type="cellIs" priority="11" operator="equal" aboveAverage="0" equalAverage="0" bottom="0" percent="0" rank="0" text="" dxfId="4">
      <formula>"Excellent"</formula>
    </cfRule>
  </conditionalFormatting>
  <conditionalFormatting sqref="X6:X35">
    <cfRule type="cellIs" priority="12" operator="equal" aboveAverage="0" equalAverage="0" bottom="0" percent="0" rank="0" text="" dxfId="0">
      <formula>"Unsatisfactory"</formula>
    </cfRule>
    <cfRule type="cellIs" priority="13" operator="equal" aboveAverage="0" equalAverage="0" bottom="0" percent="0" rank="0" text="" dxfId="1">
      <formula>"Satisfactory"</formula>
    </cfRule>
    <cfRule type="cellIs" priority="14" operator="equal" aboveAverage="0" equalAverage="0" bottom="0" percent="0" rank="0" text="" dxfId="2">
      <formula>"Good"</formula>
    </cfRule>
    <cfRule type="cellIs" priority="15" operator="equal" aboveAverage="0" equalAverage="0" bottom="0" percent="0" rank="0" text="" dxfId="3">
      <formula>"Very good"</formula>
    </cfRule>
    <cfRule type="cellIs" priority="16" operator="equal" aboveAverage="0" equalAverage="0" bottom="0" percent="0" rank="0" text="" dxfId="4">
      <formula>"Excellent"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.62"/>
    <col collapsed="false" customWidth="true" hidden="false" outlineLevel="0" max="8" min="8" style="1" width="11.12"/>
    <col collapsed="false" customWidth="true" hidden="false" outlineLevel="0" max="21" min="13" style="1" width="9"/>
  </cols>
  <sheetData>
    <row r="4" customFormat="false" ht="23.25" hidden="false" customHeight="true" outlineLevel="0" collapsed="false">
      <c r="B4" s="39" t="s">
        <v>39</v>
      </c>
      <c r="C4" s="40" t="n">
        <v>218399</v>
      </c>
      <c r="D4" s="40" t="n">
        <f aca="false">'Mod-1 Participant''s Feedback'!E5</f>
        <v>216377</v>
      </c>
      <c r="E4" s="40" t="str">
        <f aca="false">'Mod-1 Participant''s Feedback'!F5</f>
        <v>502099-K</v>
      </c>
      <c r="F4" s="40" t="n">
        <f aca="false">'Mod-1 Participant''s Feedback'!G5</f>
        <v>217755</v>
      </c>
      <c r="G4" s="40" t="n">
        <f aca="false">'Mod-1 Participant''s Feedback'!H5</f>
        <v>216676</v>
      </c>
      <c r="H4" s="40" t="str">
        <f aca="false">'Mod-1 Participant''s Feedback'!I5</f>
        <v>506104N</v>
      </c>
      <c r="I4" s="40" t="n">
        <f aca="false">'Mod-1 Participant''s Feedback'!J5</f>
        <v>216322</v>
      </c>
      <c r="J4" s="40" t="n">
        <f aca="false">'Mod-1 Participant''s Feedback'!K5</f>
        <v>216168</v>
      </c>
      <c r="K4" s="40" t="n">
        <f aca="false">'Mod-1 Participant''s Feedback'!L5</f>
        <v>214004</v>
      </c>
      <c r="L4" s="40" t="n">
        <f aca="false">'Mod-1 Participant''s Feedback'!M5</f>
        <v>218036</v>
      </c>
      <c r="M4" s="40" t="n">
        <f aca="false">'Mod-1 Participant''s Feedback'!N5</f>
        <v>217847</v>
      </c>
      <c r="N4" s="40" t="n">
        <f aca="false">'Mod-1 Participant''s Feedback'!O5</f>
        <v>218033</v>
      </c>
      <c r="O4" s="40" t="n">
        <f aca="false">'Mod-1 Participant''s Feedback'!P5</f>
        <v>216448</v>
      </c>
      <c r="P4" s="40" t="n">
        <f aca="false">'Mod-1 Participant''s Feedback'!Q5</f>
        <v>216442</v>
      </c>
      <c r="Q4" s="40" t="n">
        <f aca="false">'Mod-1 Participant''s Feedback'!R5</f>
        <v>217689</v>
      </c>
      <c r="R4" s="40" t="n">
        <f aca="false">'Mod-1 Participant''s Feedback'!S5</f>
        <v>216449</v>
      </c>
      <c r="S4" s="40" t="n">
        <f aca="false">'Mod-1 Participant''s Feedback'!T5</f>
        <v>216452</v>
      </c>
      <c r="T4" s="40" t="n">
        <f aca="false">'Mod-1 Participant''s Feedback'!U5</f>
        <v>217770</v>
      </c>
      <c r="U4" s="40" t="n">
        <f aca="false">'Mod-1 Participant''s Feedback'!V5</f>
        <v>218114</v>
      </c>
      <c r="V4" s="40" t="s">
        <v>40</v>
      </c>
    </row>
    <row r="5" customFormat="false" ht="23.25" hidden="false" customHeight="true" outlineLevel="0" collapsed="false">
      <c r="B5" s="39" t="s">
        <v>41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2" t="e">
        <f aca="false">AVERAGE(C5:U5)</f>
        <v>#DIV/0!</v>
      </c>
    </row>
    <row r="6" customFormat="false" ht="23.25" hidden="false" customHeight="true" outlineLevel="0" collapsed="false">
      <c r="B6" s="39" t="s">
        <v>42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2" t="e">
        <f aca="false">AVERAGE(C6:U6)</f>
        <v>#DIV/0!</v>
      </c>
    </row>
    <row r="7" customFormat="false" ht="23.25" hidden="false" customHeight="true" outlineLevel="0" collapsed="false">
      <c r="B7" s="39" t="s">
        <v>43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2" t="e">
        <f aca="false">AVERAGE(C7:U7)</f>
        <v>#DIV/0!</v>
      </c>
    </row>
    <row r="8" customFormat="false" ht="23.25" hidden="false" customHeight="true" outlineLevel="0" collapsed="false">
      <c r="B8" s="39" t="s">
        <v>44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2" t="e">
        <f aca="false">AVERAGE(C8:U8)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9.62"/>
    <col collapsed="false" customWidth="true" hidden="false" outlineLevel="0" max="3" min="3" style="43" width="47.38"/>
    <col collapsed="false" customWidth="true" hidden="false" outlineLevel="0" max="4" min="4" style="44" width="56.87"/>
  </cols>
  <sheetData>
    <row r="1" customFormat="false" ht="23.25" hidden="false" customHeight="true" outlineLevel="0" collapsed="false">
      <c r="A1" s="45" t="s">
        <v>45</v>
      </c>
      <c r="B1" s="45"/>
      <c r="C1" s="45"/>
      <c r="D1" s="45"/>
    </row>
    <row r="2" customFormat="false" ht="21" hidden="false" customHeight="true" outlineLevel="0" collapsed="false">
      <c r="A2" s="46" t="s">
        <v>46</v>
      </c>
      <c r="B2" s="46"/>
      <c r="C2" s="46"/>
      <c r="D2" s="46"/>
    </row>
    <row r="3" customFormat="false" ht="30" hidden="false" customHeight="true" outlineLevel="0" collapsed="false">
      <c r="A3" s="47" t="s">
        <v>47</v>
      </c>
      <c r="B3" s="47" t="s">
        <v>48</v>
      </c>
      <c r="C3" s="48" t="s">
        <v>49</v>
      </c>
      <c r="D3" s="47" t="s">
        <v>50</v>
      </c>
    </row>
    <row r="4" customFormat="false" ht="16.5" hidden="false" customHeight="true" outlineLevel="0" collapsed="false">
      <c r="A4" s="49" t="n">
        <v>1</v>
      </c>
      <c r="B4" s="49" t="n">
        <f aca="false">INDEX('Mod-1 Participant''s Feedback'!$D$5:$HY$5,ROW(A1))</f>
        <v>218399</v>
      </c>
      <c r="C4" s="50" t="n">
        <f aca="false">INDEX('Mod-1 Participant''s Feedback'!$D$59:$HY$59,ROW(A1))</f>
        <v>0</v>
      </c>
      <c r="D4" s="51" t="n">
        <f aca="false">INDEX('Mod-1 Participant''s Feedback'!$D$60:$HY$60,ROW(A1))</f>
        <v>0</v>
      </c>
    </row>
    <row r="5" customFormat="false" ht="82.5" hidden="false" customHeight="true" outlineLevel="0" collapsed="false">
      <c r="A5" s="49" t="n">
        <v>2</v>
      </c>
      <c r="B5" s="49" t="n">
        <f aca="false">INDEX('Mod-1 Participant''s Feedback'!$D$5:$HY$5,ROW(A2))</f>
        <v>216377</v>
      </c>
      <c r="C5" s="50" t="n">
        <f aca="false">INDEX('Mod-1 Participant''s Feedback'!$D$59:$HY$59,ROW(A2))</f>
        <v>0</v>
      </c>
      <c r="D5" s="52" t="n">
        <f aca="false">INDEX('Mod-1 Participant''s Feedback'!$D$60:$HY$60,ROW(A2))</f>
        <v>0</v>
      </c>
    </row>
    <row r="6" customFormat="false" ht="16.5" hidden="false" customHeight="true" outlineLevel="0" collapsed="false">
      <c r="A6" s="49" t="n">
        <v>3</v>
      </c>
      <c r="B6" s="49" t="str">
        <f aca="false">INDEX('Mod-1 Participant''s Feedback'!$D$5:$HY$5,ROW(A3))</f>
        <v>502099-K</v>
      </c>
      <c r="C6" s="50" t="n">
        <f aca="false">INDEX('Mod-1 Participant''s Feedback'!$D$59:$HY$59,ROW(A3))</f>
        <v>0</v>
      </c>
      <c r="D6" s="51" t="n">
        <f aca="false">INDEX('Mod-1 Participant''s Feedback'!$D$60:$HY$60,ROW(A3))</f>
        <v>0</v>
      </c>
    </row>
    <row r="7" customFormat="false" ht="16.5" hidden="false" customHeight="true" outlineLevel="0" collapsed="false">
      <c r="A7" s="49" t="n">
        <v>4</v>
      </c>
      <c r="B7" s="49" t="n">
        <f aca="false">INDEX('Mod-1 Participant''s Feedback'!$D$5:$HY$5,ROW(A4))</f>
        <v>217755</v>
      </c>
      <c r="C7" s="50" t="n">
        <f aca="false">INDEX('Mod-1 Participant''s Feedback'!$D$59:$HY$59,ROW(A4))</f>
        <v>0</v>
      </c>
      <c r="D7" s="51" t="n">
        <f aca="false">INDEX('Mod-1 Participant''s Feedback'!$D$60:$HY$60,ROW(A4))</f>
        <v>0</v>
      </c>
    </row>
    <row r="8" customFormat="false" ht="16.5" hidden="false" customHeight="true" outlineLevel="0" collapsed="false">
      <c r="A8" s="49" t="n">
        <v>5</v>
      </c>
      <c r="B8" s="49" t="n">
        <f aca="false">INDEX('Mod-1 Participant''s Feedback'!$D$5:$HY$5,ROW(A5))</f>
        <v>216676</v>
      </c>
      <c r="C8" s="50" t="n">
        <f aca="false">INDEX('Mod-1 Participant''s Feedback'!$D$59:$HY$59,ROW(A5))</f>
        <v>0</v>
      </c>
      <c r="D8" s="51" t="n">
        <f aca="false">INDEX('Mod-1 Participant''s Feedback'!$D$60:$HY$60,ROW(A5))</f>
        <v>0</v>
      </c>
    </row>
    <row r="9" customFormat="false" ht="16.5" hidden="false" customHeight="true" outlineLevel="0" collapsed="false">
      <c r="A9" s="49" t="n">
        <v>6</v>
      </c>
      <c r="B9" s="49" t="str">
        <f aca="false">INDEX('Mod-1 Participant''s Feedback'!$D$5:$HY$5,ROW(A6))</f>
        <v>506104N</v>
      </c>
      <c r="C9" s="50" t="n">
        <f aca="false">INDEX('Mod-1 Participant''s Feedback'!$D$59:$HY$59,ROW(A6))</f>
        <v>0</v>
      </c>
      <c r="D9" s="51" t="n">
        <f aca="false">INDEX('Mod-1 Participant''s Feedback'!$D$60:$HY$60,ROW(A6))</f>
        <v>0</v>
      </c>
    </row>
    <row r="10" customFormat="false" ht="49.5" hidden="false" customHeight="true" outlineLevel="0" collapsed="false">
      <c r="A10" s="49" t="n">
        <v>7</v>
      </c>
      <c r="B10" s="49" t="n">
        <f aca="false">INDEX('Mod-1 Participant''s Feedback'!$D$5:$HY$5,ROW(A7))</f>
        <v>216322</v>
      </c>
      <c r="C10" s="50" t="n">
        <f aca="false">INDEX('Mod-1 Participant''s Feedback'!$D$59:$HY$59,ROW(A7))</f>
        <v>0</v>
      </c>
      <c r="D10" s="52" t="n">
        <f aca="false">INDEX('Mod-1 Participant''s Feedback'!$D$60:$HY$60,ROW(A7))</f>
        <v>0</v>
      </c>
      <c r="H10" s="1" t="s">
        <v>51</v>
      </c>
    </row>
    <row r="11" customFormat="false" ht="16.5" hidden="false" customHeight="true" outlineLevel="0" collapsed="false">
      <c r="A11" s="49" t="n">
        <v>8</v>
      </c>
      <c r="B11" s="49" t="n">
        <f aca="false">INDEX('Mod-1 Participant''s Feedback'!$D$5:$HY$5,ROW(A8))</f>
        <v>216168</v>
      </c>
      <c r="C11" s="50" t="n">
        <f aca="false">INDEX('Mod-1 Participant''s Feedback'!$D$59:$HY$59,ROW(A8))</f>
        <v>0</v>
      </c>
      <c r="D11" s="51" t="n">
        <f aca="false">INDEX('Mod-1 Participant''s Feedback'!$D$60:$HY$60,ROW(A8))</f>
        <v>0</v>
      </c>
    </row>
    <row r="12" customFormat="false" ht="33" hidden="false" customHeight="true" outlineLevel="0" collapsed="false">
      <c r="A12" s="49" t="n">
        <v>9</v>
      </c>
      <c r="B12" s="49" t="n">
        <f aca="false">INDEX('Mod-1 Participant''s Feedback'!$D$5:$HY$5,ROW(A9))</f>
        <v>214004</v>
      </c>
      <c r="C12" s="50" t="n">
        <f aca="false">INDEX('Mod-1 Participant''s Feedback'!$D$59:$HY$59,ROW(A9))</f>
        <v>0</v>
      </c>
      <c r="D12" s="52" t="n">
        <f aca="false">INDEX('Mod-1 Participant''s Feedback'!$D$60:$HY$60,ROW(A9))</f>
        <v>0</v>
      </c>
    </row>
    <row r="13" customFormat="false" ht="33" hidden="false" customHeight="true" outlineLevel="0" collapsed="false">
      <c r="A13" s="49" t="n">
        <v>10</v>
      </c>
      <c r="B13" s="49" t="n">
        <f aca="false">INDEX('Mod-1 Participant''s Feedback'!$D$5:$HY$5,ROW(A10))</f>
        <v>218036</v>
      </c>
      <c r="C13" s="50" t="n">
        <f aca="false">INDEX('Mod-1 Participant''s Feedback'!$D$59:$HY$59,ROW(A10))</f>
        <v>0</v>
      </c>
      <c r="D13" s="52" t="n">
        <f aca="false">INDEX('Mod-1 Participant''s Feedback'!$D$60:$HY$60,ROW(A10))</f>
        <v>0</v>
      </c>
    </row>
    <row r="14" customFormat="false" ht="49.5" hidden="false" customHeight="true" outlineLevel="0" collapsed="false">
      <c r="A14" s="49" t="n">
        <v>11</v>
      </c>
      <c r="B14" s="49" t="n">
        <f aca="false">INDEX('Mod-1 Participant''s Feedback'!$D$5:$HY$5,ROW(A11))</f>
        <v>217847</v>
      </c>
      <c r="C14" s="53" t="n">
        <f aca="false">INDEX('Mod-1 Participant''s Feedback'!$D$59:$HY$59,ROW(A11))</f>
        <v>0</v>
      </c>
      <c r="D14" s="52" t="n">
        <f aca="false">INDEX('Mod-1 Participant''s Feedback'!$D$60:$HY$60,ROW(A11))</f>
        <v>0</v>
      </c>
    </row>
    <row r="15" customFormat="false" ht="33" hidden="false" customHeight="true" outlineLevel="0" collapsed="false">
      <c r="A15" s="49" t="n">
        <v>12</v>
      </c>
      <c r="B15" s="49" t="n">
        <f aca="false">INDEX('Mod-1 Participant''s Feedback'!$D$5:$HY$5,ROW(A12))</f>
        <v>218033</v>
      </c>
      <c r="C15" s="50" t="n">
        <f aca="false">INDEX('Mod-1 Participant''s Feedback'!$D$59:$HY$59,ROW(A12))</f>
        <v>0</v>
      </c>
      <c r="D15" s="52" t="n">
        <f aca="false">INDEX('Mod-1 Participant''s Feedback'!$D$60:$HY$60,ROW(A12))</f>
        <v>0</v>
      </c>
    </row>
    <row r="16" customFormat="false" ht="33" hidden="false" customHeight="true" outlineLevel="0" collapsed="false">
      <c r="A16" s="49" t="n">
        <v>13</v>
      </c>
      <c r="B16" s="49" t="n">
        <f aca="false">INDEX('Mod-1 Participant''s Feedback'!$D$5:$HY$5,ROW(A13))</f>
        <v>216448</v>
      </c>
      <c r="C16" s="50" t="n">
        <f aca="false">INDEX('Mod-1 Participant''s Feedback'!$D$59:$HY$59,ROW(A13))</f>
        <v>0</v>
      </c>
      <c r="D16" s="52" t="n">
        <f aca="false">INDEX('Mod-1 Participant''s Feedback'!$D$60:$HY$60,ROW(A13))</f>
        <v>0</v>
      </c>
    </row>
    <row r="17" customFormat="false" ht="16.5" hidden="false" customHeight="true" outlineLevel="0" collapsed="false">
      <c r="A17" s="49" t="n">
        <v>14</v>
      </c>
      <c r="B17" s="49" t="n">
        <f aca="false">INDEX('Mod-1 Participant''s Feedback'!$D$5:$HY$5,ROW(A14))</f>
        <v>216442</v>
      </c>
      <c r="C17" s="50" t="n">
        <f aca="false">INDEX('Mod-1 Participant''s Feedback'!$D$59:$HY$59,ROW(A14))</f>
        <v>0</v>
      </c>
      <c r="D17" s="51" t="n">
        <f aca="false">INDEX('Mod-1 Participant''s Feedback'!$D$60:$HY$60,ROW(A14))</f>
        <v>0</v>
      </c>
    </row>
    <row r="18" customFormat="false" ht="16.5" hidden="false" customHeight="true" outlineLevel="0" collapsed="false">
      <c r="A18" s="49" t="n">
        <v>15</v>
      </c>
      <c r="B18" s="49" t="n">
        <f aca="false">INDEX('Mod-1 Participant''s Feedback'!$D$5:$HY$5,ROW(A15))</f>
        <v>217689</v>
      </c>
      <c r="C18" s="50" t="n">
        <f aca="false">INDEX('Mod-1 Participant''s Feedback'!$D$59:$HY$59,ROW(A15))</f>
        <v>0</v>
      </c>
      <c r="D18" s="51" t="n">
        <f aca="false">INDEX('Mod-1 Participant''s Feedback'!$D$60:$HY$60,ROW(A15))</f>
        <v>0</v>
      </c>
    </row>
    <row r="19" customFormat="false" ht="16.5" hidden="false" customHeight="true" outlineLevel="0" collapsed="false">
      <c r="A19" s="49" t="n">
        <v>16</v>
      </c>
      <c r="B19" s="49" t="n">
        <f aca="false">INDEX('Mod-1 Participant''s Feedback'!$D$5:$HY$5,ROW(A16))</f>
        <v>216449</v>
      </c>
      <c r="C19" s="50" t="n">
        <f aca="false">INDEX('Mod-1 Participant''s Feedback'!$D$59:$HY$59,ROW(A16))</f>
        <v>0</v>
      </c>
      <c r="D19" s="51" t="n">
        <f aca="false">INDEX('Mod-1 Participant''s Feedback'!$D$60:$HY$60,ROW(A16))</f>
        <v>0</v>
      </c>
    </row>
    <row r="20" customFormat="false" ht="33" hidden="false" customHeight="true" outlineLevel="0" collapsed="false">
      <c r="A20" s="49" t="n">
        <v>17</v>
      </c>
      <c r="B20" s="49" t="n">
        <f aca="false">INDEX('Mod-1 Participant''s Feedback'!$D$5:$HY$5,ROW(A17))</f>
        <v>216452</v>
      </c>
      <c r="C20" s="53" t="n">
        <f aca="false">INDEX('Mod-1 Participant''s Feedback'!$D$59:$HY$59,ROW(A17))</f>
        <v>0</v>
      </c>
      <c r="D20" s="51" t="n">
        <f aca="false">INDEX('Mod-1 Participant''s Feedback'!$D$60:$HY$60,ROW(A17))</f>
        <v>0</v>
      </c>
    </row>
    <row r="21" customFormat="false" ht="49.5" hidden="false" customHeight="true" outlineLevel="0" collapsed="false">
      <c r="A21" s="49" t="n">
        <v>18</v>
      </c>
      <c r="B21" s="49" t="n">
        <f aca="false">INDEX('Mod-1 Participant''s Feedback'!$D$5:$HY$5,ROW(A18))</f>
        <v>217770</v>
      </c>
      <c r="C21" s="50" t="n">
        <f aca="false">INDEX('Mod-1 Participant''s Feedback'!$D$59:$HY$59,ROW(A18))</f>
        <v>0</v>
      </c>
      <c r="D21" s="52" t="n">
        <f aca="false">INDEX('Mod-1 Participant''s Feedback'!$D$60:$HY$60,ROW(A18))</f>
        <v>0</v>
      </c>
    </row>
    <row r="22" customFormat="false" ht="16.5" hidden="false" customHeight="true" outlineLevel="0" collapsed="false">
      <c r="A22" s="49" t="n">
        <v>19</v>
      </c>
      <c r="B22" s="49" t="n">
        <f aca="false">INDEX('Mod-1 Participant''s Feedback'!$D$5:$HY$5,ROW(A19))</f>
        <v>218114</v>
      </c>
      <c r="C22" s="50" t="n">
        <f aca="false">INDEX('Mod-1 Participant''s Feedback'!$D$59:$HY$59,ROW(A19))</f>
        <v>0</v>
      </c>
      <c r="D22" s="51" t="n">
        <f aca="false">INDEX('Mod-1 Participant''s Feedback'!$D$60:$HY$60,ROW(A19))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12"/>
    <col collapsed="false" customWidth="true" hidden="false" outlineLevel="0" max="4" min="2" style="1" width="10"/>
  </cols>
  <sheetData>
    <row r="1" customFormat="false" ht="15" hidden="false" customHeight="false" outlineLevel="0" collapsed="false">
      <c r="A1" s="54" t="s">
        <v>52</v>
      </c>
      <c r="B1" s="54" t="s">
        <v>53</v>
      </c>
      <c r="C1" s="54" t="s">
        <v>54</v>
      </c>
      <c r="D1" s="54" t="s">
        <v>55</v>
      </c>
      <c r="E1" s="54" t="s">
        <v>56</v>
      </c>
    </row>
    <row r="2" customFormat="false" ht="15" hidden="false" customHeight="false" outlineLevel="0" collapsed="false">
      <c r="A2" s="55" t="n">
        <v>9.36842105263158</v>
      </c>
      <c r="B2" s="55" t="n">
        <v>9.1578947368421</v>
      </c>
      <c r="C2" s="55" t="n">
        <v>8.89473684210526</v>
      </c>
      <c r="D2" s="55" t="n">
        <v>9.31578947368421</v>
      </c>
      <c r="E2" s="55" t="n">
        <v>8.89473684210526</v>
      </c>
    </row>
    <row r="3" customFormat="false" ht="15" hidden="false" customHeight="false" outlineLevel="0" collapsed="false">
      <c r="A3" s="55" t="n">
        <v>9.42105263157895</v>
      </c>
      <c r="B3" s="55" t="n">
        <v>9.05263157894737</v>
      </c>
      <c r="C3" s="55" t="n">
        <v>8.63157894736842</v>
      </c>
      <c r="D3" s="55" t="n">
        <v>9.26315789473684</v>
      </c>
      <c r="E3" s="55" t="n">
        <v>8.47368421052632</v>
      </c>
    </row>
    <row r="4" customFormat="false" ht="15" hidden="false" customHeight="false" outlineLevel="0" collapsed="false">
      <c r="A4" s="55" t="n">
        <v>9.63157894736842</v>
      </c>
      <c r="B4" s="55" t="n">
        <v>9.52631578947369</v>
      </c>
      <c r="C4" s="55" t="n">
        <v>9.05263157894737</v>
      </c>
      <c r="D4" s="55" t="n">
        <v>9.63157894736842</v>
      </c>
      <c r="E4" s="55" t="n">
        <v>8.68421052631579</v>
      </c>
    </row>
    <row r="5" customFormat="false" ht="15" hidden="false" customHeight="false" outlineLevel="0" collapsed="false">
      <c r="A5" s="55" t="n">
        <v>9.42105263157895</v>
      </c>
      <c r="B5" s="55" t="n">
        <v>9.10526315789474</v>
      </c>
      <c r="C5" s="55" t="n">
        <v>8.68421052631579</v>
      </c>
      <c r="D5" s="55" t="n">
        <v>9.47368421052632</v>
      </c>
      <c r="E5" s="55" t="n">
        <v>8.8421052631579</v>
      </c>
    </row>
    <row r="6" customFormat="false" ht="15" hidden="false" customHeight="false" outlineLevel="0" collapsed="false">
      <c r="A6" s="56" t="n">
        <v>9.47368421052632</v>
      </c>
      <c r="B6" s="55" t="n">
        <v>9.10526315789474</v>
      </c>
      <c r="C6" s="55" t="n">
        <v>8.73684210526316</v>
      </c>
      <c r="D6" s="55" t="n">
        <v>9.31578947368421</v>
      </c>
      <c r="E6" s="55" t="n">
        <v>8.57894736842105</v>
      </c>
    </row>
    <row r="7" customFormat="false" ht="15" hidden="false" customHeight="false" outlineLevel="0" collapsed="false">
      <c r="A7" s="55" t="n">
        <v>9.26315789473684</v>
      </c>
      <c r="B7" s="55" t="n">
        <v>9.1578947368421</v>
      </c>
      <c r="C7" s="55"/>
      <c r="D7" s="55" t="n">
        <v>9.26315789473684</v>
      </c>
      <c r="E7" s="55"/>
    </row>
    <row r="8" customFormat="false" ht="15" hidden="false" customHeight="false" outlineLevel="0" collapsed="false">
      <c r="A8" s="55" t="n">
        <v>9.31578947368421</v>
      </c>
      <c r="B8" s="55" t="n">
        <v>8.94736842105263</v>
      </c>
      <c r="C8" s="55"/>
      <c r="D8" s="55" t="n">
        <v>9.21052631578947</v>
      </c>
      <c r="E8" s="55"/>
    </row>
    <row r="9" customFormat="false" ht="15" hidden="false" customHeight="false" outlineLevel="0" collapsed="false">
      <c r="A9" s="55" t="n">
        <v>9.63157894736842</v>
      </c>
      <c r="B9" s="55" t="n">
        <v>9.31578947368421</v>
      </c>
      <c r="C9" s="55"/>
      <c r="D9" s="55" t="n">
        <v>9.57894736842105</v>
      </c>
      <c r="E9" s="55"/>
    </row>
    <row r="10" customFormat="false" ht="15" hidden="false" customHeight="false" outlineLevel="0" collapsed="false">
      <c r="A10" s="55" t="n">
        <v>9.31578947368421</v>
      </c>
      <c r="B10" s="55" t="n">
        <v>9</v>
      </c>
      <c r="C10" s="55"/>
      <c r="D10" s="55" t="n">
        <v>9.36842105263158</v>
      </c>
      <c r="E10" s="55"/>
    </row>
    <row r="11" customFormat="false" ht="15" hidden="false" customHeight="false" outlineLevel="0" collapsed="false">
      <c r="A11" s="56" t="n">
        <v>9.47368421052632</v>
      </c>
      <c r="B11" s="55" t="n">
        <v>9.05263157894737</v>
      </c>
      <c r="C11" s="55"/>
      <c r="D11" s="55" t="n">
        <v>9.31578947368421</v>
      </c>
      <c r="E11" s="55"/>
    </row>
    <row r="12" customFormat="false" ht="15" hidden="false" customHeight="false" outlineLevel="0" collapsed="false">
      <c r="A12" s="55" t="n">
        <v>9.31578947368421</v>
      </c>
      <c r="B12" s="55" t="n">
        <v>9.10526315789474</v>
      </c>
      <c r="C12" s="57"/>
      <c r="D12" s="55"/>
      <c r="E12" s="55"/>
    </row>
    <row r="13" customFormat="false" ht="15" hidden="false" customHeight="false" outlineLevel="0" collapsed="false">
      <c r="A13" s="55" t="n">
        <v>9.36842105263158</v>
      </c>
      <c r="B13" s="55" t="n">
        <v>8.94736842105263</v>
      </c>
      <c r="C13" s="57"/>
      <c r="D13" s="55"/>
      <c r="E13" s="55"/>
    </row>
    <row r="14" customFormat="false" ht="15" hidden="false" customHeight="false" outlineLevel="0" collapsed="false">
      <c r="A14" s="55" t="n">
        <v>9.52631578947369</v>
      </c>
      <c r="B14" s="55" t="n">
        <v>9.52631578947369</v>
      </c>
      <c r="C14" s="57"/>
      <c r="D14" s="55"/>
      <c r="E14" s="55"/>
    </row>
    <row r="15" customFormat="false" ht="15" hidden="false" customHeight="false" outlineLevel="0" collapsed="false">
      <c r="A15" s="55" t="n">
        <v>9.26315789473684</v>
      </c>
      <c r="B15" s="55" t="n">
        <v>9</v>
      </c>
      <c r="C15" s="57"/>
      <c r="D15" s="55"/>
      <c r="E15" s="55"/>
    </row>
    <row r="16" customFormat="false" ht="15" hidden="false" customHeight="false" outlineLevel="0" collapsed="false">
      <c r="A16" s="55" t="n">
        <v>9.52631578947369</v>
      </c>
      <c r="B16" s="55" t="n">
        <v>9.10526315789474</v>
      </c>
      <c r="C16" s="57"/>
      <c r="D16" s="55"/>
      <c r="E16" s="55"/>
    </row>
    <row r="17" customFormat="false" ht="19.5" hidden="false" customHeight="true" outlineLevel="0" collapsed="false">
      <c r="A17" s="58" t="n">
        <f aca="false">AVERAGE(A2:A16)</f>
        <v>9.42105263157895</v>
      </c>
      <c r="B17" s="58" t="n">
        <f aca="false">AVERAGE(B2:B16)</f>
        <v>9.14035087719298</v>
      </c>
      <c r="C17" s="58" t="n">
        <f aca="false">AVERAGE(C2:C16)</f>
        <v>8.8</v>
      </c>
      <c r="D17" s="58" t="n">
        <f aca="false">AVERAGE(D2:D16)</f>
        <v>9.37368421052632</v>
      </c>
      <c r="E17" s="58" t="n">
        <f aca="false">AVERAGE(E2:E16)</f>
        <v>8.69473684210526</v>
      </c>
    </row>
    <row r="19" customFormat="false" ht="15" hidden="false" customHeight="false" outlineLevel="0" collapsed="false">
      <c r="C19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6" activeCellId="0" sqref="D6"/>
    </sheetView>
  </sheetViews>
  <sheetFormatPr defaultColWidth="9.12890625" defaultRowHeight="15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1" width="39"/>
    <col collapsed="false" customWidth="true" hidden="false" outlineLevel="0" max="3" min="3" style="1" width="53"/>
    <col collapsed="false" customWidth="true" hidden="false" outlineLevel="0" max="22" min="4" style="1" width="11.38"/>
    <col collapsed="false" customWidth="true" hidden="false" outlineLevel="0" max="23" min="23" style="1" width="7.88"/>
    <col collapsed="false" customWidth="true" hidden="false" outlineLevel="0" max="24" min="24" style="1" width="18.25"/>
  </cols>
  <sheetData>
    <row r="1" customFormat="false" ht="106.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customFormat="false" ht="26.25" hidden="false" customHeight="true" outlineLevel="0" collapsed="false">
      <c r="A2" s="6"/>
      <c r="B2" s="6" t="s">
        <v>0</v>
      </c>
      <c r="C2" s="7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customFormat="false" ht="18" hidden="false" customHeight="true" outlineLevel="0" collapsed="false">
      <c r="A3" s="8"/>
      <c r="B3" s="8" t="s">
        <v>2</v>
      </c>
      <c r="C3" s="9" t="s">
        <v>3</v>
      </c>
      <c r="D3" s="10" t="s">
        <v>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customFormat="false" ht="18" hidden="false" customHeight="true" outlineLevel="0" collapsed="false">
      <c r="A4" s="61"/>
      <c r="B4" s="61"/>
      <c r="C4" s="62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5"/>
      <c r="X4" s="66"/>
    </row>
    <row r="5" customFormat="false" ht="18" hidden="false" customHeight="true" outlineLevel="0" collapsed="false">
      <c r="A5" s="11" t="s">
        <v>5</v>
      </c>
      <c r="B5" s="11" t="s">
        <v>6</v>
      </c>
      <c r="C5" s="12" t="s">
        <v>7</v>
      </c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 t="s">
        <v>9</v>
      </c>
      <c r="X5" s="12" t="s">
        <v>10</v>
      </c>
    </row>
    <row r="6" customFormat="false" ht="36" hidden="false" customHeight="true" outlineLevel="0" collapsed="false">
      <c r="A6" s="11"/>
      <c r="B6" s="11"/>
      <c r="C6" s="11"/>
      <c r="D6" s="15" t="n">
        <v>214387</v>
      </c>
      <c r="E6" s="15" t="n">
        <v>218036</v>
      </c>
      <c r="F6" s="15" t="n">
        <v>216452</v>
      </c>
      <c r="G6" s="15" t="n">
        <v>217770</v>
      </c>
      <c r="H6" s="15" t="n">
        <v>216676</v>
      </c>
      <c r="I6" s="15" t="n">
        <v>218033</v>
      </c>
      <c r="J6" s="15" t="n">
        <v>217755</v>
      </c>
      <c r="K6" s="15" t="n">
        <v>212842</v>
      </c>
      <c r="L6" s="15" t="n">
        <v>214004</v>
      </c>
      <c r="M6" s="15" t="n">
        <v>216322</v>
      </c>
      <c r="N6" s="15" t="n">
        <v>218114</v>
      </c>
      <c r="O6" s="15" t="s">
        <v>57</v>
      </c>
      <c r="P6" s="15" t="n">
        <v>217689</v>
      </c>
      <c r="Q6" s="15" t="s">
        <v>11</v>
      </c>
      <c r="R6" s="15" t="n">
        <v>216448</v>
      </c>
      <c r="S6" s="15" t="n">
        <v>216168</v>
      </c>
      <c r="T6" s="15" t="n">
        <v>218399</v>
      </c>
      <c r="U6" s="15" t="n">
        <v>216442</v>
      </c>
      <c r="V6" s="15" t="n">
        <v>216449</v>
      </c>
      <c r="W6" s="14"/>
      <c r="X6" s="14"/>
    </row>
    <row r="7" customFormat="false" ht="19.5" hidden="false" customHeight="true" outlineLevel="0" collapsed="false">
      <c r="A7" s="16" t="s">
        <v>58</v>
      </c>
      <c r="B7" s="17" t="s">
        <v>59</v>
      </c>
      <c r="C7" s="18" t="s">
        <v>15</v>
      </c>
      <c r="D7" s="22" t="n">
        <v>9</v>
      </c>
      <c r="E7" s="22" t="n">
        <v>10</v>
      </c>
      <c r="F7" s="22" t="n">
        <v>10</v>
      </c>
      <c r="G7" s="22" t="n">
        <v>10</v>
      </c>
      <c r="H7" s="22" t="n">
        <v>10</v>
      </c>
      <c r="I7" s="22" t="n">
        <v>10</v>
      </c>
      <c r="J7" s="22" t="n">
        <v>10</v>
      </c>
      <c r="K7" s="22" t="n">
        <v>10</v>
      </c>
      <c r="L7" s="22" t="n">
        <v>10</v>
      </c>
      <c r="M7" s="22" t="n">
        <v>10</v>
      </c>
      <c r="N7" s="22" t="n">
        <v>9</v>
      </c>
      <c r="O7" s="22" t="n">
        <v>10</v>
      </c>
      <c r="P7" s="22" t="n">
        <v>10</v>
      </c>
      <c r="Q7" s="22" t="n">
        <v>10</v>
      </c>
      <c r="R7" s="22" t="n">
        <v>10</v>
      </c>
      <c r="S7" s="22" t="n">
        <v>8</v>
      </c>
      <c r="T7" s="22" t="n">
        <v>8</v>
      </c>
      <c r="U7" s="22" t="n">
        <v>9</v>
      </c>
      <c r="V7" s="22" t="n">
        <v>9</v>
      </c>
      <c r="W7" s="20" t="n">
        <f aca="false">AVERAGE(D7:V7)</f>
        <v>9.57894736842105</v>
      </c>
      <c r="X7" s="21" t="str">
        <f aca="false">IF(W7&gt;=8,"Excellent",IF(W7&gt;=6,"Very good",IF(W7&gt;=4,"Good",IF(W7&gt;=2,"Satisfactory",IF(W7&gt;=1,"Unsatisfactory")))))</f>
        <v>Excellent</v>
      </c>
    </row>
    <row r="8" customFormat="false" ht="19.5" hidden="false" customHeight="true" outlineLevel="0" collapsed="false">
      <c r="A8" s="16"/>
      <c r="B8" s="16"/>
      <c r="C8" s="18" t="s">
        <v>16</v>
      </c>
      <c r="D8" s="22" t="n">
        <v>9</v>
      </c>
      <c r="E8" s="22" t="n">
        <v>10</v>
      </c>
      <c r="F8" s="22" t="n">
        <v>10</v>
      </c>
      <c r="G8" s="22" t="n">
        <v>10</v>
      </c>
      <c r="H8" s="22" t="n">
        <v>10</v>
      </c>
      <c r="I8" s="22" t="n">
        <v>10</v>
      </c>
      <c r="J8" s="22" t="n">
        <v>10</v>
      </c>
      <c r="K8" s="22" t="n">
        <v>10</v>
      </c>
      <c r="L8" s="22" t="n">
        <v>9</v>
      </c>
      <c r="M8" s="22" t="n">
        <v>10</v>
      </c>
      <c r="N8" s="22" t="n">
        <v>9</v>
      </c>
      <c r="O8" s="22" t="n">
        <v>10</v>
      </c>
      <c r="P8" s="22" t="n">
        <v>9</v>
      </c>
      <c r="Q8" s="22" t="n">
        <v>10</v>
      </c>
      <c r="R8" s="22" t="n">
        <v>10</v>
      </c>
      <c r="S8" s="22" t="n">
        <v>8</v>
      </c>
      <c r="T8" s="22" t="n">
        <v>8</v>
      </c>
      <c r="U8" s="22" t="n">
        <v>9</v>
      </c>
      <c r="V8" s="22" t="n">
        <v>10</v>
      </c>
      <c r="W8" s="20" t="n">
        <f aca="false">AVERAGE(D8:V8)</f>
        <v>9.52631578947369</v>
      </c>
      <c r="X8" s="21" t="str">
        <f aca="false">IF(W8&gt;=8,"Excellent",IF(W8&gt;=6,"Very good",IF(W8&gt;=4,"Good",IF(W8&gt;=2,"Satisfactory",IF(W8&gt;=1,"Unsatisfactory")))))</f>
        <v>Excellent</v>
      </c>
    </row>
    <row r="9" customFormat="false" ht="19.5" hidden="false" customHeight="true" outlineLevel="0" collapsed="false">
      <c r="A9" s="16"/>
      <c r="B9" s="16"/>
      <c r="C9" s="18" t="s">
        <v>17</v>
      </c>
      <c r="D9" s="22" t="n">
        <v>9</v>
      </c>
      <c r="E9" s="22" t="n">
        <v>10</v>
      </c>
      <c r="F9" s="22" t="n">
        <v>10</v>
      </c>
      <c r="G9" s="22" t="n">
        <v>9</v>
      </c>
      <c r="H9" s="22" t="n">
        <v>10</v>
      </c>
      <c r="I9" s="22" t="n">
        <v>10</v>
      </c>
      <c r="J9" s="22" t="n">
        <v>10</v>
      </c>
      <c r="K9" s="22" t="n">
        <v>10</v>
      </c>
      <c r="L9" s="22" t="n">
        <v>9</v>
      </c>
      <c r="M9" s="22" t="n">
        <v>10</v>
      </c>
      <c r="N9" s="22" t="n">
        <v>9</v>
      </c>
      <c r="O9" s="22" t="n">
        <v>10</v>
      </c>
      <c r="P9" s="22" t="n">
        <v>9</v>
      </c>
      <c r="Q9" s="22" t="n">
        <v>10</v>
      </c>
      <c r="R9" s="22" t="n">
        <v>10</v>
      </c>
      <c r="S9" s="22" t="n">
        <v>8</v>
      </c>
      <c r="T9" s="22" t="n">
        <v>8</v>
      </c>
      <c r="U9" s="22" t="n">
        <v>9</v>
      </c>
      <c r="V9" s="22" t="n">
        <v>10</v>
      </c>
      <c r="W9" s="20" t="n">
        <f aca="false">AVERAGE(D9:V9)</f>
        <v>9.47368421052632</v>
      </c>
      <c r="X9" s="21" t="str">
        <f aca="false">IF(W9&gt;=8,"Excellent",IF(W9&gt;=6,"Very good",IF(W9&gt;=4,"Good",IF(W9&gt;=2,"Satisfactory",IF(W9&gt;=1,"Unsatisfactory")))))</f>
        <v>Excellent</v>
      </c>
    </row>
    <row r="10" customFormat="false" ht="19.5" hidden="false" customHeight="true" outlineLevel="0" collapsed="false">
      <c r="A10" s="16"/>
      <c r="B10" s="16"/>
      <c r="C10" s="15" t="s">
        <v>18</v>
      </c>
      <c r="D10" s="22" t="n">
        <v>9</v>
      </c>
      <c r="E10" s="15" t="n">
        <v>10</v>
      </c>
      <c r="F10" s="15" t="n">
        <v>10</v>
      </c>
      <c r="G10" s="22" t="n">
        <v>9</v>
      </c>
      <c r="H10" s="15" t="n">
        <v>10</v>
      </c>
      <c r="I10" s="22" t="n">
        <v>10</v>
      </c>
      <c r="J10" s="22" t="n">
        <v>10</v>
      </c>
      <c r="K10" s="15" t="n">
        <v>10</v>
      </c>
      <c r="L10" s="15" t="n">
        <v>9</v>
      </c>
      <c r="M10" s="15" t="n">
        <v>10</v>
      </c>
      <c r="N10" s="22" t="n">
        <v>9</v>
      </c>
      <c r="O10" s="22" t="n">
        <v>10</v>
      </c>
      <c r="P10" s="22" t="n">
        <v>10</v>
      </c>
      <c r="Q10" s="22" t="n">
        <v>10</v>
      </c>
      <c r="R10" s="22" t="n">
        <v>10</v>
      </c>
      <c r="S10" s="22" t="n">
        <v>8</v>
      </c>
      <c r="T10" s="22" t="n">
        <v>9</v>
      </c>
      <c r="U10" s="22" t="n">
        <v>9</v>
      </c>
      <c r="V10" s="22" t="n">
        <v>10</v>
      </c>
      <c r="W10" s="20" t="n">
        <f aca="false">AVERAGE(D10:V10)</f>
        <v>9.57894736842105</v>
      </c>
      <c r="X10" s="21" t="str">
        <f aca="false">IF(W10&gt;=8,"Excellent",IF(W10&gt;=6,"Very good",IF(W10&gt;=4,"Good",IF(W10&gt;=2,"Satisfactory",IF(W10&gt;=1,"Unsatisfactory")))))</f>
        <v>Excellent</v>
      </c>
    </row>
    <row r="11" customFormat="false" ht="19.5" hidden="false" customHeight="true" outlineLevel="0" collapsed="false">
      <c r="A11" s="16"/>
      <c r="B11" s="17"/>
      <c r="C11" s="15" t="s">
        <v>19</v>
      </c>
      <c r="D11" s="22" t="n">
        <v>9</v>
      </c>
      <c r="E11" s="22" t="n">
        <v>10</v>
      </c>
      <c r="F11" s="22" t="n">
        <v>10</v>
      </c>
      <c r="G11" s="22" t="n">
        <v>9</v>
      </c>
      <c r="H11" s="22" t="n">
        <v>10</v>
      </c>
      <c r="I11" s="22" t="n">
        <v>10</v>
      </c>
      <c r="J11" s="22" t="n">
        <v>10</v>
      </c>
      <c r="K11" s="22" t="n">
        <v>10</v>
      </c>
      <c r="L11" s="22" t="n">
        <v>9</v>
      </c>
      <c r="M11" s="22" t="n">
        <v>10</v>
      </c>
      <c r="N11" s="22" t="n">
        <v>9</v>
      </c>
      <c r="O11" s="22" t="n">
        <v>10</v>
      </c>
      <c r="P11" s="22" t="n">
        <v>9</v>
      </c>
      <c r="Q11" s="22" t="n">
        <v>10</v>
      </c>
      <c r="R11" s="22" t="n">
        <v>10</v>
      </c>
      <c r="S11" s="22" t="n">
        <v>8</v>
      </c>
      <c r="T11" s="22" t="n">
        <v>9</v>
      </c>
      <c r="U11" s="22" t="n">
        <v>9</v>
      </c>
      <c r="V11" s="22" t="n">
        <v>10</v>
      </c>
      <c r="W11" s="20" t="n">
        <f aca="false">AVERAGE(D11:V11)</f>
        <v>9.52631578947369</v>
      </c>
      <c r="X11" s="21" t="str">
        <f aca="false">IF(W11&gt;=8,"Excellent",IF(W11&gt;=6,"Very good",IF(W11&gt;=4,"Good",IF(W11&gt;=2,"Satisfactory",IF(W11&gt;=1,"Unsatisfactory")))))</f>
        <v>Excellent</v>
      </c>
    </row>
    <row r="12" customFormat="false" ht="19.5" hidden="false" customHeight="true" outlineLevel="0" collapsed="false">
      <c r="A12" s="16"/>
      <c r="B12" s="17" t="s">
        <v>60</v>
      </c>
      <c r="C12" s="18" t="s">
        <v>15</v>
      </c>
      <c r="D12" s="22" t="n">
        <v>8</v>
      </c>
      <c r="E12" s="22" t="n">
        <v>10</v>
      </c>
      <c r="F12" s="22" t="n">
        <v>10</v>
      </c>
      <c r="G12" s="22" t="n">
        <v>10</v>
      </c>
      <c r="H12" s="22" t="n">
        <v>10</v>
      </c>
      <c r="I12" s="22" t="n">
        <v>10</v>
      </c>
      <c r="J12" s="22" t="n">
        <v>10</v>
      </c>
      <c r="K12" s="22" t="n">
        <v>10</v>
      </c>
      <c r="L12" s="22" t="n">
        <v>9</v>
      </c>
      <c r="M12" s="22" t="n">
        <v>10</v>
      </c>
      <c r="N12" s="22" t="n">
        <v>8</v>
      </c>
      <c r="O12" s="22" t="n">
        <v>10</v>
      </c>
      <c r="P12" s="22" t="n">
        <v>9</v>
      </c>
      <c r="Q12" s="22" t="n">
        <v>8</v>
      </c>
      <c r="R12" s="22" t="n">
        <v>10</v>
      </c>
      <c r="S12" s="22" t="n">
        <v>8</v>
      </c>
      <c r="T12" s="22" t="n">
        <v>9</v>
      </c>
      <c r="U12" s="22" t="n">
        <v>9</v>
      </c>
      <c r="V12" s="22" t="n">
        <v>10</v>
      </c>
      <c r="W12" s="20" t="n">
        <f aca="false">AVERAGE(D12:V12)</f>
        <v>9.36842105263158</v>
      </c>
      <c r="X12" s="21" t="str">
        <f aca="false">IF(W12&gt;=8,"Excellent",IF(W12&gt;=6,"Very good",IF(W12&gt;=4,"Good",IF(W12&gt;=2,"Satisfactory",IF(W12&gt;=1,"Unsatisfactory")))))</f>
        <v>Excellent</v>
      </c>
    </row>
    <row r="13" customFormat="false" ht="19.5" hidden="false" customHeight="true" outlineLevel="0" collapsed="false">
      <c r="A13" s="16"/>
      <c r="B13" s="16"/>
      <c r="C13" s="18" t="s">
        <v>16</v>
      </c>
      <c r="D13" s="22" t="n">
        <v>7</v>
      </c>
      <c r="E13" s="22" t="n">
        <v>10</v>
      </c>
      <c r="F13" s="22" t="n">
        <v>10</v>
      </c>
      <c r="G13" s="22" t="n">
        <v>9</v>
      </c>
      <c r="H13" s="22" t="n">
        <v>9</v>
      </c>
      <c r="I13" s="22" t="n">
        <v>10</v>
      </c>
      <c r="J13" s="22" t="n">
        <v>10</v>
      </c>
      <c r="K13" s="22" t="n">
        <v>10</v>
      </c>
      <c r="L13" s="22" t="n">
        <v>9</v>
      </c>
      <c r="M13" s="22" t="n">
        <v>10</v>
      </c>
      <c r="N13" s="22" t="n">
        <v>8</v>
      </c>
      <c r="O13" s="22" t="n">
        <v>10</v>
      </c>
      <c r="P13" s="22" t="n">
        <v>9</v>
      </c>
      <c r="Q13" s="22" t="n">
        <v>8</v>
      </c>
      <c r="R13" s="22" t="n">
        <v>10</v>
      </c>
      <c r="S13" s="22" t="n">
        <v>8</v>
      </c>
      <c r="T13" s="22" t="n">
        <v>9</v>
      </c>
      <c r="U13" s="22" t="n">
        <v>9</v>
      </c>
      <c r="V13" s="22" t="n">
        <v>10</v>
      </c>
      <c r="W13" s="20" t="n">
        <f aca="false">AVERAGE(D13:V13)</f>
        <v>9.21052631578947</v>
      </c>
      <c r="X13" s="21" t="str">
        <f aca="false">IF(W13&gt;=8,"Excellent",IF(W13&gt;=6,"Very good",IF(W13&gt;=4,"Good",IF(W13&gt;=2,"Satisfactory",IF(W13&gt;=1,"Unsatisfactory")))))</f>
        <v>Excellent</v>
      </c>
    </row>
    <row r="14" customFormat="false" ht="19.5" hidden="false" customHeight="true" outlineLevel="0" collapsed="false">
      <c r="A14" s="16"/>
      <c r="B14" s="16"/>
      <c r="C14" s="18" t="s">
        <v>17</v>
      </c>
      <c r="D14" s="22" t="n">
        <v>6</v>
      </c>
      <c r="E14" s="22" t="n">
        <v>9</v>
      </c>
      <c r="F14" s="22" t="n">
        <v>10</v>
      </c>
      <c r="G14" s="22" t="n">
        <v>9</v>
      </c>
      <c r="H14" s="22" t="n">
        <v>10</v>
      </c>
      <c r="I14" s="22" t="n">
        <v>10</v>
      </c>
      <c r="J14" s="22" t="n">
        <v>10</v>
      </c>
      <c r="K14" s="22" t="n">
        <v>10</v>
      </c>
      <c r="L14" s="22" t="n">
        <v>10</v>
      </c>
      <c r="M14" s="22" t="n">
        <v>10</v>
      </c>
      <c r="N14" s="22" t="n">
        <v>8</v>
      </c>
      <c r="O14" s="22" t="n">
        <v>10</v>
      </c>
      <c r="P14" s="22" t="n">
        <v>9</v>
      </c>
      <c r="Q14" s="22" t="n">
        <v>8</v>
      </c>
      <c r="R14" s="22" t="n">
        <v>10</v>
      </c>
      <c r="S14" s="22" t="n">
        <v>8</v>
      </c>
      <c r="T14" s="22" t="n">
        <v>9</v>
      </c>
      <c r="U14" s="22" t="n">
        <v>9</v>
      </c>
      <c r="V14" s="22" t="n">
        <v>10</v>
      </c>
      <c r="W14" s="20" t="n">
        <f aca="false">AVERAGE(D14:V14)</f>
        <v>9.21052631578947</v>
      </c>
      <c r="X14" s="21" t="str">
        <f aca="false">IF(W14&gt;=8,"Excellent",IF(W14&gt;=6,"Very good",IF(W14&gt;=4,"Good",IF(W14&gt;=2,"Satisfactory",IF(W14&gt;=1,"Unsatisfactory")))))</f>
        <v>Excellent</v>
      </c>
    </row>
    <row r="15" customFormat="false" ht="19.5" hidden="false" customHeight="true" outlineLevel="0" collapsed="false">
      <c r="A15" s="16"/>
      <c r="B15" s="16"/>
      <c r="C15" s="15" t="s">
        <v>18</v>
      </c>
      <c r="D15" s="22" t="n">
        <v>3</v>
      </c>
      <c r="E15" s="15" t="n">
        <v>10</v>
      </c>
      <c r="F15" s="15" t="n">
        <v>10</v>
      </c>
      <c r="G15" s="22" t="n">
        <v>9</v>
      </c>
      <c r="H15" s="15" t="n">
        <v>9</v>
      </c>
      <c r="I15" s="22" t="n">
        <v>10</v>
      </c>
      <c r="J15" s="22" t="n">
        <v>10</v>
      </c>
      <c r="K15" s="15" t="n">
        <v>10</v>
      </c>
      <c r="L15" s="15" t="n">
        <v>9</v>
      </c>
      <c r="M15" s="15" t="n">
        <v>10</v>
      </c>
      <c r="N15" s="22" t="n">
        <v>8</v>
      </c>
      <c r="O15" s="22" t="n">
        <v>10</v>
      </c>
      <c r="P15" s="22" t="n">
        <v>10</v>
      </c>
      <c r="Q15" s="22" t="n">
        <v>8</v>
      </c>
      <c r="R15" s="22" t="n">
        <v>10</v>
      </c>
      <c r="S15" s="22" t="n">
        <v>8</v>
      </c>
      <c r="T15" s="22" t="n">
        <v>9</v>
      </c>
      <c r="U15" s="22" t="n">
        <v>9</v>
      </c>
      <c r="V15" s="22" t="n">
        <v>10</v>
      </c>
      <c r="W15" s="20" t="n">
        <f aca="false">AVERAGE(D15:V15)</f>
        <v>9.05263157894737</v>
      </c>
      <c r="X15" s="21" t="str">
        <f aca="false">IF(W15&gt;=8,"Excellent",IF(W15&gt;=6,"Very good",IF(W15&gt;=4,"Good",IF(W15&gt;=2,"Satisfactory",IF(W15&gt;=1,"Unsatisfactory")))))</f>
        <v>Excellent</v>
      </c>
    </row>
    <row r="16" customFormat="false" ht="19.5" hidden="false" customHeight="true" outlineLevel="0" collapsed="false">
      <c r="A16" s="16"/>
      <c r="B16" s="16"/>
      <c r="C16" s="15" t="s">
        <v>19</v>
      </c>
      <c r="D16" s="22" t="n">
        <v>3</v>
      </c>
      <c r="E16" s="22" t="n">
        <v>10</v>
      </c>
      <c r="F16" s="22" t="n">
        <v>10</v>
      </c>
      <c r="G16" s="22" t="n">
        <v>10</v>
      </c>
      <c r="H16" s="22" t="n">
        <v>10</v>
      </c>
      <c r="I16" s="22" t="n">
        <v>9</v>
      </c>
      <c r="J16" s="22" t="n">
        <v>10</v>
      </c>
      <c r="K16" s="22" t="n">
        <v>9</v>
      </c>
      <c r="L16" s="22" t="n">
        <v>9</v>
      </c>
      <c r="M16" s="22" t="n">
        <v>10</v>
      </c>
      <c r="N16" s="22" t="n">
        <v>8</v>
      </c>
      <c r="O16" s="22" t="n">
        <v>10</v>
      </c>
      <c r="P16" s="22" t="n">
        <v>9</v>
      </c>
      <c r="Q16" s="22" t="n">
        <v>8</v>
      </c>
      <c r="R16" s="22" t="n">
        <v>10</v>
      </c>
      <c r="S16" s="22" t="n">
        <v>8</v>
      </c>
      <c r="T16" s="22" t="n">
        <v>9</v>
      </c>
      <c r="U16" s="22" t="n">
        <v>9</v>
      </c>
      <c r="V16" s="22" t="n">
        <v>10</v>
      </c>
      <c r="W16" s="20" t="n">
        <f aca="false">AVERAGE(D16:V16)</f>
        <v>9</v>
      </c>
      <c r="X16" s="21" t="str">
        <f aca="false">IF(W16&gt;=8,"Excellent",IF(W16&gt;=6,"Very good",IF(W16&gt;=4,"Good",IF(W16&gt;=2,"Satisfactory",IF(W16&gt;=1,"Unsatisfactory")))))</f>
        <v>Excellent</v>
      </c>
    </row>
    <row r="17" customFormat="false" ht="19.5" hidden="false" customHeight="true" outlineLevel="0" collapsed="false">
      <c r="A17" s="16" t="s">
        <v>61</v>
      </c>
      <c r="B17" s="17" t="s">
        <v>62</v>
      </c>
      <c r="C17" s="18" t="s">
        <v>15</v>
      </c>
      <c r="D17" s="22" t="n">
        <v>8</v>
      </c>
      <c r="E17" s="22" t="n">
        <v>10</v>
      </c>
      <c r="F17" s="22" t="n">
        <v>10</v>
      </c>
      <c r="G17" s="22" t="n">
        <v>10</v>
      </c>
      <c r="H17" s="22" t="n">
        <v>10</v>
      </c>
      <c r="I17" s="22" t="n">
        <v>10</v>
      </c>
      <c r="J17" s="22" t="n">
        <v>10</v>
      </c>
      <c r="K17" s="22" t="n">
        <v>10</v>
      </c>
      <c r="L17" s="22" t="n">
        <v>10</v>
      </c>
      <c r="M17" s="22" t="n">
        <v>10</v>
      </c>
      <c r="N17" s="22" t="n">
        <v>8</v>
      </c>
      <c r="O17" s="22" t="n">
        <v>10</v>
      </c>
      <c r="P17" s="22" t="n">
        <v>9</v>
      </c>
      <c r="Q17" s="22" t="n">
        <v>9</v>
      </c>
      <c r="R17" s="22" t="n">
        <v>10</v>
      </c>
      <c r="S17" s="22" t="n">
        <v>8</v>
      </c>
      <c r="T17" s="22" t="n">
        <v>9</v>
      </c>
      <c r="U17" s="22" t="n">
        <v>10</v>
      </c>
      <c r="V17" s="22" t="n">
        <v>10</v>
      </c>
      <c r="W17" s="20" t="n">
        <f aca="false">AVERAGE(D17:V17)</f>
        <v>9.52631578947369</v>
      </c>
      <c r="X17" s="21" t="str">
        <f aca="false">IF(W17&gt;=8,"Excellent",IF(W17&gt;=6,"Very good",IF(W17&gt;=4,"Good",IF(W17&gt;=2,"Satisfactory",IF(W17&gt;=1,"Unsatisfactory")))))</f>
        <v>Excellent</v>
      </c>
    </row>
    <row r="18" customFormat="false" ht="19.5" hidden="false" customHeight="true" outlineLevel="0" collapsed="false">
      <c r="A18" s="16"/>
      <c r="B18" s="16"/>
      <c r="C18" s="18" t="s">
        <v>16</v>
      </c>
      <c r="D18" s="22" t="n">
        <v>6</v>
      </c>
      <c r="E18" s="22" t="n">
        <v>10</v>
      </c>
      <c r="F18" s="22" t="n">
        <v>10</v>
      </c>
      <c r="G18" s="22" t="n">
        <v>9</v>
      </c>
      <c r="H18" s="22" t="n">
        <v>10</v>
      </c>
      <c r="I18" s="22" t="n">
        <v>10</v>
      </c>
      <c r="J18" s="22" t="n">
        <v>10</v>
      </c>
      <c r="K18" s="22" t="n">
        <v>9</v>
      </c>
      <c r="L18" s="22" t="n">
        <v>9</v>
      </c>
      <c r="M18" s="22" t="n">
        <v>10</v>
      </c>
      <c r="N18" s="22" t="n">
        <v>8</v>
      </c>
      <c r="O18" s="22" t="n">
        <v>10</v>
      </c>
      <c r="P18" s="22" t="n">
        <v>9</v>
      </c>
      <c r="Q18" s="22" t="n">
        <v>9</v>
      </c>
      <c r="R18" s="22" t="n">
        <v>10</v>
      </c>
      <c r="S18" s="22" t="n">
        <v>8</v>
      </c>
      <c r="T18" s="22" t="n">
        <v>9</v>
      </c>
      <c r="U18" s="22" t="n">
        <v>10</v>
      </c>
      <c r="V18" s="22" t="n">
        <v>9</v>
      </c>
      <c r="W18" s="20" t="n">
        <f aca="false">AVERAGE(D18:V18)</f>
        <v>9.21052631578947</v>
      </c>
      <c r="X18" s="21" t="str">
        <f aca="false">IF(W18&gt;=8,"Excellent",IF(W18&gt;=6,"Very good",IF(W18&gt;=4,"Good",IF(W18&gt;=2,"Satisfactory",IF(W18&gt;=1,"Unsatisfactory")))))</f>
        <v>Excellent</v>
      </c>
    </row>
    <row r="19" customFormat="false" ht="19.5" hidden="false" customHeight="true" outlineLevel="0" collapsed="false">
      <c r="A19" s="16"/>
      <c r="B19" s="16"/>
      <c r="C19" s="18" t="s">
        <v>17</v>
      </c>
      <c r="D19" s="22" t="n">
        <v>7</v>
      </c>
      <c r="E19" s="22" t="n">
        <v>10</v>
      </c>
      <c r="F19" s="22" t="n">
        <v>10</v>
      </c>
      <c r="G19" s="22" t="n">
        <v>9</v>
      </c>
      <c r="H19" s="22" t="n">
        <v>10</v>
      </c>
      <c r="I19" s="22" t="n">
        <v>10</v>
      </c>
      <c r="J19" s="22" t="n">
        <v>10</v>
      </c>
      <c r="K19" s="22" t="n">
        <v>9</v>
      </c>
      <c r="L19" s="22" t="n">
        <v>9</v>
      </c>
      <c r="M19" s="22" t="n">
        <v>10</v>
      </c>
      <c r="N19" s="22" t="n">
        <v>8</v>
      </c>
      <c r="O19" s="22" t="n">
        <v>10</v>
      </c>
      <c r="P19" s="22" t="n">
        <v>9</v>
      </c>
      <c r="Q19" s="22" t="n">
        <v>9</v>
      </c>
      <c r="R19" s="22" t="n">
        <v>10</v>
      </c>
      <c r="S19" s="22" t="n">
        <v>8</v>
      </c>
      <c r="T19" s="22" t="n">
        <v>9</v>
      </c>
      <c r="U19" s="22" t="n">
        <v>10</v>
      </c>
      <c r="V19" s="22" t="n">
        <v>10</v>
      </c>
      <c r="W19" s="20" t="n">
        <f aca="false">AVERAGE(D19:V19)</f>
        <v>9.31578947368421</v>
      </c>
      <c r="X19" s="21" t="str">
        <f aca="false">IF(W19&gt;=8,"Excellent",IF(W19&gt;=6,"Very good",IF(W19&gt;=4,"Good",IF(W19&gt;=2,"Satisfactory",IF(W19&gt;=1,"Unsatisfactory")))))</f>
        <v>Excellent</v>
      </c>
    </row>
    <row r="20" customFormat="false" ht="19.5" hidden="false" customHeight="true" outlineLevel="0" collapsed="false">
      <c r="A20" s="16"/>
      <c r="B20" s="16"/>
      <c r="C20" s="15" t="s">
        <v>18</v>
      </c>
      <c r="D20" s="22" t="n">
        <v>3</v>
      </c>
      <c r="E20" s="15" t="n">
        <v>10</v>
      </c>
      <c r="F20" s="22" t="n">
        <v>10</v>
      </c>
      <c r="G20" s="22" t="n">
        <v>9</v>
      </c>
      <c r="H20" s="15" t="n">
        <v>10</v>
      </c>
      <c r="I20" s="22" t="n">
        <v>10</v>
      </c>
      <c r="J20" s="22" t="n">
        <v>10</v>
      </c>
      <c r="K20" s="15" t="n">
        <v>10</v>
      </c>
      <c r="L20" s="15" t="n">
        <v>9</v>
      </c>
      <c r="M20" s="15" t="n">
        <v>10</v>
      </c>
      <c r="N20" s="22" t="n">
        <v>8</v>
      </c>
      <c r="O20" s="22" t="n">
        <v>10</v>
      </c>
      <c r="P20" s="22" t="n">
        <v>10</v>
      </c>
      <c r="Q20" s="22" t="n">
        <v>9</v>
      </c>
      <c r="R20" s="22" t="n">
        <v>10</v>
      </c>
      <c r="S20" s="22" t="n">
        <v>8</v>
      </c>
      <c r="T20" s="22" t="n">
        <v>9</v>
      </c>
      <c r="U20" s="22" t="n">
        <v>10</v>
      </c>
      <c r="V20" s="22" t="n">
        <v>9</v>
      </c>
      <c r="W20" s="20" t="n">
        <f aca="false">AVERAGE(D20:V20)</f>
        <v>9.1578947368421</v>
      </c>
      <c r="X20" s="21" t="str">
        <f aca="false">IF(W20&gt;=8,"Excellent",IF(W20&gt;=6,"Very good",IF(W20&gt;=4,"Good",IF(W20&gt;=2,"Satisfactory",IF(W20&gt;=1,"Unsatisfactory")))))</f>
        <v>Excellent</v>
      </c>
    </row>
    <row r="21" customFormat="false" ht="19.5" hidden="false" customHeight="true" outlineLevel="0" collapsed="false">
      <c r="A21" s="16"/>
      <c r="B21" s="17"/>
      <c r="C21" s="15" t="s">
        <v>19</v>
      </c>
      <c r="D21" s="22" t="n">
        <v>8</v>
      </c>
      <c r="E21" s="22" t="n">
        <v>9</v>
      </c>
      <c r="F21" s="22" t="n">
        <v>10</v>
      </c>
      <c r="G21" s="22" t="n">
        <v>9</v>
      </c>
      <c r="H21" s="22" t="n">
        <v>10</v>
      </c>
      <c r="I21" s="22" t="n">
        <v>9</v>
      </c>
      <c r="J21" s="22" t="n">
        <v>10</v>
      </c>
      <c r="K21" s="22" t="n">
        <v>9</v>
      </c>
      <c r="L21" s="22" t="n">
        <v>9</v>
      </c>
      <c r="M21" s="22" t="n">
        <v>10</v>
      </c>
      <c r="N21" s="22" t="n">
        <v>8</v>
      </c>
      <c r="O21" s="22" t="n">
        <v>10</v>
      </c>
      <c r="P21" s="22" t="n">
        <v>9</v>
      </c>
      <c r="Q21" s="22" t="n">
        <v>9</v>
      </c>
      <c r="R21" s="22" t="n">
        <v>10</v>
      </c>
      <c r="S21" s="22" t="n">
        <v>8</v>
      </c>
      <c r="T21" s="22" t="n">
        <v>9</v>
      </c>
      <c r="U21" s="22" t="n">
        <v>10</v>
      </c>
      <c r="V21" s="22" t="n">
        <v>10</v>
      </c>
      <c r="W21" s="20" t="n">
        <f aca="false">AVERAGE(D21:V21)</f>
        <v>9.26315789473684</v>
      </c>
      <c r="X21" s="21" t="str">
        <f aca="false">IF(W21&gt;=8,"Excellent",IF(W21&gt;=6,"Very good",IF(W21&gt;=4,"Good",IF(W21&gt;=2,"Satisfactory",IF(W21&gt;=1,"Unsatisfactory")))))</f>
        <v>Excellent</v>
      </c>
    </row>
    <row r="22" customFormat="false" ht="19.5" hidden="false" customHeight="true" outlineLevel="0" collapsed="false">
      <c r="A22" s="16"/>
      <c r="B22" s="17" t="s">
        <v>63</v>
      </c>
      <c r="C22" s="18" t="s">
        <v>15</v>
      </c>
      <c r="D22" s="22" t="n">
        <v>9</v>
      </c>
      <c r="E22" s="22" t="n">
        <v>10</v>
      </c>
      <c r="F22" s="22" t="n">
        <v>10</v>
      </c>
      <c r="G22" s="22" t="n">
        <v>10</v>
      </c>
      <c r="H22" s="22" t="n">
        <v>9</v>
      </c>
      <c r="I22" s="22" t="n">
        <v>10</v>
      </c>
      <c r="J22" s="22" t="n">
        <v>10</v>
      </c>
      <c r="K22" s="22" t="n">
        <v>10</v>
      </c>
      <c r="L22" s="22" t="n">
        <v>9</v>
      </c>
      <c r="M22" s="22" t="n">
        <v>10</v>
      </c>
      <c r="N22" s="22" t="n">
        <v>9</v>
      </c>
      <c r="O22" s="22" t="n">
        <v>10</v>
      </c>
      <c r="P22" s="22" t="n">
        <v>9</v>
      </c>
      <c r="Q22" s="22" t="n">
        <v>8</v>
      </c>
      <c r="R22" s="22" t="n">
        <v>10</v>
      </c>
      <c r="S22" s="22" t="n">
        <v>8</v>
      </c>
      <c r="T22" s="22" t="n">
        <v>9</v>
      </c>
      <c r="U22" s="22" t="n">
        <v>10</v>
      </c>
      <c r="V22" s="22" t="n">
        <v>10</v>
      </c>
      <c r="W22" s="20" t="n">
        <f aca="false">AVERAGE(D22:V22)</f>
        <v>9.47368421052632</v>
      </c>
      <c r="X22" s="21" t="str">
        <f aca="false">IF(W22&gt;=8,"Excellent",IF(W22&gt;=6,"Very good",IF(W22&gt;=4,"Good",IF(W22&gt;=2,"Satisfactory",IF(W22&gt;=1,"Unsatisfactory")))))</f>
        <v>Excellent</v>
      </c>
    </row>
    <row r="23" customFormat="false" ht="19.5" hidden="false" customHeight="true" outlineLevel="0" collapsed="false">
      <c r="A23" s="16"/>
      <c r="B23" s="16"/>
      <c r="C23" s="18" t="s">
        <v>16</v>
      </c>
      <c r="D23" s="22" t="n">
        <v>9</v>
      </c>
      <c r="E23" s="22" t="n">
        <v>10</v>
      </c>
      <c r="F23" s="22" t="n">
        <v>9</v>
      </c>
      <c r="G23" s="22" t="n">
        <v>9</v>
      </c>
      <c r="H23" s="22" t="n">
        <v>9</v>
      </c>
      <c r="I23" s="22" t="n">
        <v>10</v>
      </c>
      <c r="J23" s="22" t="n">
        <v>10</v>
      </c>
      <c r="K23" s="22" t="n">
        <v>9</v>
      </c>
      <c r="L23" s="22" t="n">
        <v>9</v>
      </c>
      <c r="M23" s="22" t="n">
        <v>10</v>
      </c>
      <c r="N23" s="22" t="n">
        <v>9</v>
      </c>
      <c r="O23" s="22" t="n">
        <v>10</v>
      </c>
      <c r="P23" s="22" t="n">
        <v>9</v>
      </c>
      <c r="Q23" s="22" t="n">
        <v>8</v>
      </c>
      <c r="R23" s="22" t="n">
        <v>10</v>
      </c>
      <c r="S23" s="22" t="n">
        <v>8</v>
      </c>
      <c r="T23" s="22" t="n">
        <v>9</v>
      </c>
      <c r="U23" s="22" t="n">
        <v>9</v>
      </c>
      <c r="V23" s="22" t="n">
        <v>9</v>
      </c>
      <c r="W23" s="20" t="n">
        <f aca="false">AVERAGE(D23:V23)</f>
        <v>9.21052631578947</v>
      </c>
      <c r="X23" s="21" t="str">
        <f aca="false">IF(W23&gt;=8,"Excellent",IF(W23&gt;=6,"Very good",IF(W23&gt;=4,"Good",IF(W23&gt;=2,"Satisfactory",IF(W23&gt;=1,"Unsatisfactory")))))</f>
        <v>Excellent</v>
      </c>
    </row>
    <row r="24" customFormat="false" ht="19.5" hidden="false" customHeight="true" outlineLevel="0" collapsed="false">
      <c r="A24" s="16"/>
      <c r="B24" s="16"/>
      <c r="C24" s="18" t="s">
        <v>17</v>
      </c>
      <c r="D24" s="22" t="n">
        <v>9</v>
      </c>
      <c r="E24" s="22" t="n">
        <v>10</v>
      </c>
      <c r="F24" s="22" t="n">
        <v>9</v>
      </c>
      <c r="G24" s="22" t="n">
        <v>8</v>
      </c>
      <c r="H24" s="22" t="n">
        <v>9</v>
      </c>
      <c r="I24" s="22" t="n">
        <v>10</v>
      </c>
      <c r="J24" s="22" t="n">
        <v>10</v>
      </c>
      <c r="K24" s="22" t="n">
        <v>9</v>
      </c>
      <c r="L24" s="22" t="n">
        <v>10</v>
      </c>
      <c r="M24" s="22" t="n">
        <v>10</v>
      </c>
      <c r="N24" s="22" t="n">
        <v>9</v>
      </c>
      <c r="O24" s="22" t="n">
        <v>10</v>
      </c>
      <c r="P24" s="22" t="n">
        <v>9</v>
      </c>
      <c r="Q24" s="22" t="n">
        <v>8</v>
      </c>
      <c r="R24" s="22" t="n">
        <v>10</v>
      </c>
      <c r="S24" s="22" t="n">
        <v>8</v>
      </c>
      <c r="T24" s="22" t="n">
        <v>9</v>
      </c>
      <c r="U24" s="22" t="n">
        <v>10</v>
      </c>
      <c r="V24" s="22" t="n">
        <v>9</v>
      </c>
      <c r="W24" s="20" t="n">
        <f aca="false">AVERAGE(D24:V24)</f>
        <v>9.26315789473684</v>
      </c>
      <c r="X24" s="21" t="str">
        <f aca="false">IF(W24&gt;=8,"Excellent",IF(W24&gt;=6,"Very good",IF(W24&gt;=4,"Good",IF(W24&gt;=2,"Satisfactory",IF(W24&gt;=1,"Unsatisfactory")))))</f>
        <v>Excellent</v>
      </c>
    </row>
    <row r="25" customFormat="false" ht="19.5" hidden="false" customHeight="true" outlineLevel="0" collapsed="false">
      <c r="A25" s="16"/>
      <c r="B25" s="16"/>
      <c r="C25" s="15" t="s">
        <v>18</v>
      </c>
      <c r="D25" s="22" t="n">
        <v>9</v>
      </c>
      <c r="E25" s="15" t="n">
        <v>10</v>
      </c>
      <c r="F25" s="22" t="n">
        <v>9</v>
      </c>
      <c r="G25" s="22" t="n">
        <v>9</v>
      </c>
      <c r="H25" s="15" t="n">
        <v>9</v>
      </c>
      <c r="I25" s="22" t="n">
        <v>10</v>
      </c>
      <c r="J25" s="22" t="n">
        <v>10</v>
      </c>
      <c r="K25" s="15" t="n">
        <v>9</v>
      </c>
      <c r="L25" s="15" t="n">
        <v>9</v>
      </c>
      <c r="M25" s="15" t="n">
        <v>10</v>
      </c>
      <c r="N25" s="22" t="n">
        <v>9</v>
      </c>
      <c r="O25" s="22" t="n">
        <v>10</v>
      </c>
      <c r="P25" s="22" t="n">
        <v>10</v>
      </c>
      <c r="Q25" s="22" t="n">
        <v>8</v>
      </c>
      <c r="R25" s="22" t="n">
        <v>10</v>
      </c>
      <c r="S25" s="22" t="n">
        <v>8</v>
      </c>
      <c r="T25" s="22" t="n">
        <v>9</v>
      </c>
      <c r="U25" s="22" t="n">
        <v>10</v>
      </c>
      <c r="V25" s="22" t="n">
        <v>10</v>
      </c>
      <c r="W25" s="20" t="n">
        <f aca="false">AVERAGE(D25:V25)</f>
        <v>9.36842105263158</v>
      </c>
      <c r="X25" s="21" t="str">
        <f aca="false">IF(W25&gt;=8,"Excellent",IF(W25&gt;=6,"Very good",IF(W25&gt;=4,"Good",IF(W25&gt;=2,"Satisfactory",IF(W25&gt;=1,"Unsatisfactory")))))</f>
        <v>Excellent</v>
      </c>
    </row>
    <row r="26" customFormat="false" ht="19.5" hidden="false" customHeight="true" outlineLevel="0" collapsed="false">
      <c r="A26" s="16"/>
      <c r="B26" s="16"/>
      <c r="C26" s="15" t="s">
        <v>19</v>
      </c>
      <c r="D26" s="22" t="n">
        <v>9</v>
      </c>
      <c r="E26" s="22" t="n">
        <v>10</v>
      </c>
      <c r="F26" s="22" t="n">
        <v>9</v>
      </c>
      <c r="G26" s="22" t="n">
        <v>9</v>
      </c>
      <c r="H26" s="22" t="n">
        <v>9</v>
      </c>
      <c r="I26" s="22" t="n">
        <v>10</v>
      </c>
      <c r="J26" s="22" t="n">
        <v>10</v>
      </c>
      <c r="K26" s="22" t="n">
        <v>9</v>
      </c>
      <c r="L26" s="22" t="n">
        <v>9</v>
      </c>
      <c r="M26" s="22" t="n">
        <v>10</v>
      </c>
      <c r="N26" s="22" t="n">
        <v>9</v>
      </c>
      <c r="O26" s="22" t="n">
        <v>10</v>
      </c>
      <c r="P26" s="22" t="n">
        <v>9</v>
      </c>
      <c r="Q26" s="22" t="n">
        <v>8</v>
      </c>
      <c r="R26" s="22" t="n">
        <v>10</v>
      </c>
      <c r="S26" s="22" t="n">
        <v>8</v>
      </c>
      <c r="T26" s="22" t="n">
        <v>9</v>
      </c>
      <c r="U26" s="22" t="n">
        <v>10</v>
      </c>
      <c r="V26" s="22" t="n">
        <v>10</v>
      </c>
      <c r="W26" s="20" t="n">
        <f aca="false">AVERAGE(D26:V26)</f>
        <v>9.31578947368421</v>
      </c>
      <c r="X26" s="21" t="str">
        <f aca="false">IF(W26&gt;=8,"Excellent",IF(W26&gt;=6,"Very good",IF(W26&gt;=4,"Good",IF(W26&gt;=2,"Satisfactory",IF(W26&gt;=1,"Unsatisfactory")))))</f>
        <v>Excellent</v>
      </c>
    </row>
    <row r="27" customFormat="false" ht="19.5" hidden="false" customHeight="true" outlineLevel="0" collapsed="false">
      <c r="A27" s="16" t="s">
        <v>64</v>
      </c>
      <c r="B27" s="17" t="s">
        <v>65</v>
      </c>
      <c r="C27" s="18" t="s">
        <v>15</v>
      </c>
      <c r="D27" s="22" t="n">
        <v>9</v>
      </c>
      <c r="E27" s="22" t="n">
        <v>10</v>
      </c>
      <c r="F27" s="22" t="n">
        <v>10</v>
      </c>
      <c r="G27" s="22" t="n">
        <v>10</v>
      </c>
      <c r="H27" s="22" t="n">
        <v>10</v>
      </c>
      <c r="I27" s="22" t="n">
        <v>10</v>
      </c>
      <c r="J27" s="22" t="n">
        <v>10</v>
      </c>
      <c r="K27" s="22" t="n">
        <v>10</v>
      </c>
      <c r="L27" s="22" t="n">
        <v>9</v>
      </c>
      <c r="M27" s="22" t="n">
        <v>10</v>
      </c>
      <c r="N27" s="22" t="n">
        <v>9</v>
      </c>
      <c r="O27" s="22" t="n">
        <v>10</v>
      </c>
      <c r="P27" s="22" t="n">
        <v>10</v>
      </c>
      <c r="Q27" s="22" t="n">
        <v>10</v>
      </c>
      <c r="R27" s="22" t="n">
        <v>10</v>
      </c>
      <c r="S27" s="22" t="n">
        <v>8</v>
      </c>
      <c r="T27" s="22" t="n">
        <v>8</v>
      </c>
      <c r="U27" s="22" t="n">
        <v>10</v>
      </c>
      <c r="V27" s="22" t="n">
        <v>10</v>
      </c>
      <c r="W27" s="20" t="n">
        <f aca="false">AVERAGE(D27:V27)</f>
        <v>9.63157894736842</v>
      </c>
      <c r="X27" s="21" t="str">
        <f aca="false">IF(W27&gt;=8,"Excellent",IF(W27&gt;=6,"Very good",IF(W27&gt;=4,"Good",IF(W27&gt;=2,"Satisfactory",IF(W27&gt;=1,"Unsatisfactory")))))</f>
        <v>Excellent</v>
      </c>
    </row>
    <row r="28" customFormat="false" ht="19.5" hidden="false" customHeight="true" outlineLevel="0" collapsed="false">
      <c r="A28" s="16"/>
      <c r="B28" s="16"/>
      <c r="C28" s="18" t="s">
        <v>16</v>
      </c>
      <c r="D28" s="22" t="n">
        <v>9</v>
      </c>
      <c r="E28" s="22" t="n">
        <v>10</v>
      </c>
      <c r="F28" s="22" t="n">
        <v>10</v>
      </c>
      <c r="G28" s="22" t="n">
        <v>10</v>
      </c>
      <c r="H28" s="22" t="n">
        <v>10</v>
      </c>
      <c r="I28" s="22" t="n">
        <v>10</v>
      </c>
      <c r="J28" s="22" t="n">
        <v>10</v>
      </c>
      <c r="K28" s="22" t="n">
        <v>10</v>
      </c>
      <c r="L28" s="22" t="n">
        <v>9</v>
      </c>
      <c r="M28" s="22" t="n">
        <v>10</v>
      </c>
      <c r="N28" s="22" t="n">
        <v>9</v>
      </c>
      <c r="O28" s="22" t="n">
        <v>10</v>
      </c>
      <c r="P28" s="22" t="n">
        <v>9</v>
      </c>
      <c r="Q28" s="22" t="n">
        <v>10</v>
      </c>
      <c r="R28" s="22" t="n">
        <v>10</v>
      </c>
      <c r="S28" s="22" t="n">
        <v>8</v>
      </c>
      <c r="T28" s="22" t="n">
        <v>8</v>
      </c>
      <c r="U28" s="22" t="n">
        <v>10</v>
      </c>
      <c r="V28" s="22" t="n">
        <v>10</v>
      </c>
      <c r="W28" s="20" t="n">
        <f aca="false">AVERAGE(D28:V28)</f>
        <v>9.57894736842105</v>
      </c>
      <c r="X28" s="21" t="str">
        <f aca="false">IF(W28&gt;=8,"Excellent",IF(W28&gt;=6,"Very good",IF(W28&gt;=4,"Good",IF(W28&gt;=2,"Satisfactory",IF(W28&gt;=1,"Unsatisfactory")))))</f>
        <v>Excellent</v>
      </c>
    </row>
    <row r="29" customFormat="false" ht="19.5" hidden="false" customHeight="true" outlineLevel="0" collapsed="false">
      <c r="A29" s="16"/>
      <c r="B29" s="16"/>
      <c r="C29" s="18" t="s">
        <v>17</v>
      </c>
      <c r="D29" s="22" t="n">
        <v>9</v>
      </c>
      <c r="E29" s="22" t="n">
        <v>9</v>
      </c>
      <c r="F29" s="22" t="n">
        <v>10</v>
      </c>
      <c r="G29" s="22" t="n">
        <v>10</v>
      </c>
      <c r="H29" s="22" t="n">
        <v>10</v>
      </c>
      <c r="I29" s="22" t="n">
        <v>10</v>
      </c>
      <c r="J29" s="22" t="n">
        <v>10</v>
      </c>
      <c r="K29" s="22" t="n">
        <v>10</v>
      </c>
      <c r="L29" s="22" t="n">
        <v>10</v>
      </c>
      <c r="M29" s="22" t="n">
        <v>10</v>
      </c>
      <c r="N29" s="22" t="n">
        <v>9</v>
      </c>
      <c r="O29" s="22" t="n">
        <v>10</v>
      </c>
      <c r="P29" s="22" t="n">
        <v>10</v>
      </c>
      <c r="Q29" s="22" t="n">
        <v>10</v>
      </c>
      <c r="R29" s="22" t="n">
        <v>10</v>
      </c>
      <c r="S29" s="22" t="n">
        <v>8</v>
      </c>
      <c r="T29" s="22" t="n">
        <v>7</v>
      </c>
      <c r="U29" s="22" t="n">
        <v>10</v>
      </c>
      <c r="V29" s="22" t="n">
        <v>10</v>
      </c>
      <c r="W29" s="20" t="n">
        <f aca="false">AVERAGE(D29:V29)</f>
        <v>9.57894736842105</v>
      </c>
      <c r="X29" s="21" t="str">
        <f aca="false">IF(W29&gt;=8,"Excellent",IF(W29&gt;=6,"Very good",IF(W29&gt;=4,"Good",IF(W29&gt;=2,"Satisfactory",IF(W29&gt;=1,"Unsatisfactory")))))</f>
        <v>Excellent</v>
      </c>
    </row>
    <row r="30" customFormat="false" ht="19.5" hidden="false" customHeight="true" outlineLevel="0" collapsed="false">
      <c r="A30" s="16"/>
      <c r="B30" s="16"/>
      <c r="C30" s="15" t="s">
        <v>18</v>
      </c>
      <c r="D30" s="22" t="n">
        <v>9</v>
      </c>
      <c r="E30" s="15" t="n">
        <v>10</v>
      </c>
      <c r="F30" s="22" t="n">
        <v>10</v>
      </c>
      <c r="G30" s="22" t="n">
        <v>10</v>
      </c>
      <c r="H30" s="15" t="n">
        <v>10</v>
      </c>
      <c r="I30" s="22" t="n">
        <v>10</v>
      </c>
      <c r="J30" s="22" t="n">
        <v>10</v>
      </c>
      <c r="K30" s="15" t="n">
        <v>10</v>
      </c>
      <c r="L30" s="22" t="n">
        <v>9</v>
      </c>
      <c r="M30" s="15" t="n">
        <v>10</v>
      </c>
      <c r="N30" s="22" t="n">
        <v>9</v>
      </c>
      <c r="O30" s="22" t="n">
        <v>10</v>
      </c>
      <c r="P30" s="22" t="n">
        <v>10</v>
      </c>
      <c r="Q30" s="22" t="n">
        <v>10</v>
      </c>
      <c r="R30" s="22" t="n">
        <v>10</v>
      </c>
      <c r="S30" s="22" t="n">
        <v>8</v>
      </c>
      <c r="T30" s="22" t="n">
        <v>8</v>
      </c>
      <c r="U30" s="22" t="n">
        <v>10</v>
      </c>
      <c r="V30" s="22" t="n">
        <v>10</v>
      </c>
      <c r="W30" s="20" t="n">
        <f aca="false">AVERAGE(D30:V30)</f>
        <v>9.63157894736842</v>
      </c>
      <c r="X30" s="21" t="str">
        <f aca="false">IF(W30&gt;=8,"Excellent",IF(W30&gt;=6,"Very good",IF(W30&gt;=4,"Good",IF(W30&gt;=2,"Satisfactory",IF(W30&gt;=1,"Unsatisfactory")))))</f>
        <v>Excellent</v>
      </c>
    </row>
    <row r="31" customFormat="false" ht="20.25" hidden="false" customHeight="true" outlineLevel="0" collapsed="false">
      <c r="A31" s="16"/>
      <c r="B31" s="17"/>
      <c r="C31" s="15" t="s">
        <v>19</v>
      </c>
      <c r="D31" s="22" t="n">
        <v>9</v>
      </c>
      <c r="E31" s="22" t="n">
        <v>10</v>
      </c>
      <c r="F31" s="22" t="n">
        <v>10</v>
      </c>
      <c r="G31" s="22" t="n">
        <v>10</v>
      </c>
      <c r="H31" s="22" t="n">
        <v>10</v>
      </c>
      <c r="I31" s="22" t="n">
        <v>10</v>
      </c>
      <c r="J31" s="22" t="n">
        <v>10</v>
      </c>
      <c r="K31" s="22" t="n">
        <v>10</v>
      </c>
      <c r="L31" s="22" t="n">
        <v>9</v>
      </c>
      <c r="M31" s="22" t="n">
        <v>10</v>
      </c>
      <c r="N31" s="22" t="n">
        <v>9</v>
      </c>
      <c r="O31" s="22" t="n">
        <v>10</v>
      </c>
      <c r="P31" s="22" t="n">
        <v>10</v>
      </c>
      <c r="Q31" s="22" t="n">
        <v>10</v>
      </c>
      <c r="R31" s="22" t="n">
        <v>10</v>
      </c>
      <c r="S31" s="22" t="n">
        <v>8</v>
      </c>
      <c r="T31" s="22" t="n">
        <v>9</v>
      </c>
      <c r="U31" s="22" t="n">
        <v>10</v>
      </c>
      <c r="V31" s="22" t="n">
        <v>10</v>
      </c>
      <c r="W31" s="20" t="n">
        <f aca="false">AVERAGE(D31:V31)</f>
        <v>9.68421052631579</v>
      </c>
      <c r="X31" s="21" t="str">
        <f aca="false">IF(W31&gt;=8,"Excellent",IF(W31&gt;=6,"Very good",IF(W31&gt;=4,"Good",IF(W31&gt;=2,"Satisfactory",IF(W31&gt;=1,"Unsatisfactory")))))</f>
        <v>Excellent</v>
      </c>
    </row>
    <row r="32" customFormat="false" ht="20.25" hidden="false" customHeight="true" outlineLevel="0" collapsed="false">
      <c r="A32" s="16"/>
      <c r="B32" s="17" t="s">
        <v>66</v>
      </c>
      <c r="C32" s="67" t="s">
        <v>67</v>
      </c>
      <c r="D32" s="22" t="n">
        <v>10</v>
      </c>
      <c r="E32" s="22" t="n">
        <v>10</v>
      </c>
      <c r="F32" s="22" t="n">
        <v>10</v>
      </c>
      <c r="G32" s="22" t="n">
        <v>10</v>
      </c>
      <c r="H32" s="22" t="n">
        <v>10</v>
      </c>
      <c r="I32" s="22" t="n">
        <v>10</v>
      </c>
      <c r="J32" s="22" t="n">
        <v>10</v>
      </c>
      <c r="K32" s="22" t="n">
        <v>10</v>
      </c>
      <c r="L32" s="22" t="n">
        <v>9</v>
      </c>
      <c r="M32" s="22" t="n">
        <v>10</v>
      </c>
      <c r="N32" s="22" t="n">
        <v>9</v>
      </c>
      <c r="O32" s="22" t="n">
        <v>10</v>
      </c>
      <c r="P32" s="22" t="n">
        <v>10</v>
      </c>
      <c r="Q32" s="22" t="n">
        <v>10</v>
      </c>
      <c r="R32" s="22" t="n">
        <v>10</v>
      </c>
      <c r="S32" s="22" t="n">
        <v>8</v>
      </c>
      <c r="T32" s="22" t="n">
        <v>10</v>
      </c>
      <c r="U32" s="22" t="n">
        <v>10</v>
      </c>
      <c r="V32" s="22" t="n">
        <v>9</v>
      </c>
      <c r="W32" s="20" t="n">
        <f aca="false">AVERAGE(D32:V32)</f>
        <v>9.73684210526316</v>
      </c>
      <c r="X32" s="21" t="str">
        <f aca="false">IF(W32&gt;=8,"Excellent",IF(W32&gt;=6,"Very good",IF(W32&gt;=4,"Good",IF(W32&gt;=2,"Satisfactory",IF(W32&gt;=1,"Unsatisfactory")))))</f>
        <v>Excellent</v>
      </c>
    </row>
    <row r="33" customFormat="false" ht="20.25" hidden="false" customHeight="true" outlineLevel="0" collapsed="false">
      <c r="A33" s="16"/>
      <c r="B33" s="16"/>
      <c r="C33" s="68" t="s">
        <v>68</v>
      </c>
      <c r="D33" s="22" t="n">
        <v>10</v>
      </c>
      <c r="E33" s="22" t="n">
        <v>10</v>
      </c>
      <c r="F33" s="22" t="n">
        <v>10</v>
      </c>
      <c r="G33" s="22" t="n">
        <v>10</v>
      </c>
      <c r="H33" s="22" t="n">
        <v>9</v>
      </c>
      <c r="I33" s="22" t="n">
        <v>10</v>
      </c>
      <c r="J33" s="22" t="n">
        <v>10</v>
      </c>
      <c r="K33" s="22" t="n">
        <v>10</v>
      </c>
      <c r="L33" s="22" t="n">
        <v>9</v>
      </c>
      <c r="M33" s="22" t="n">
        <v>10</v>
      </c>
      <c r="N33" s="22" t="n">
        <v>9</v>
      </c>
      <c r="O33" s="22" t="n">
        <v>10</v>
      </c>
      <c r="P33" s="22" t="n">
        <v>10</v>
      </c>
      <c r="Q33" s="22" t="n">
        <v>10</v>
      </c>
      <c r="R33" s="22" t="n">
        <v>10</v>
      </c>
      <c r="S33" s="22" t="n">
        <v>8</v>
      </c>
      <c r="T33" s="22" t="n">
        <v>10</v>
      </c>
      <c r="U33" s="22" t="n">
        <v>10</v>
      </c>
      <c r="V33" s="22" t="n">
        <v>9</v>
      </c>
      <c r="W33" s="20" t="n">
        <f aca="false">AVERAGE(D33:V33)</f>
        <v>9.68421052631579</v>
      </c>
      <c r="X33" s="21" t="str">
        <f aca="false">IF(W33&gt;=8,"Excellent",IF(W33&gt;=6,"Very good",IF(W33&gt;=4,"Good",IF(W33&gt;=2,"Satisfactory",IF(W33&gt;=1,"Unsatisfactory")))))</f>
        <v>Excellent</v>
      </c>
    </row>
    <row r="34" customFormat="false" ht="20.25" hidden="false" customHeight="true" outlineLevel="0" collapsed="false">
      <c r="A34" s="16"/>
      <c r="B34" s="16"/>
      <c r="C34" s="69" t="s">
        <v>69</v>
      </c>
      <c r="D34" s="22" t="n">
        <v>10</v>
      </c>
      <c r="E34" s="22" t="n">
        <v>10</v>
      </c>
      <c r="F34" s="22" t="n">
        <v>10</v>
      </c>
      <c r="G34" s="22" t="n">
        <v>10</v>
      </c>
      <c r="H34" s="22" t="n">
        <v>9</v>
      </c>
      <c r="I34" s="22" t="n">
        <v>10</v>
      </c>
      <c r="J34" s="22" t="n">
        <v>10</v>
      </c>
      <c r="K34" s="22" t="n">
        <v>10</v>
      </c>
      <c r="L34" s="22" t="n">
        <v>9</v>
      </c>
      <c r="M34" s="22" t="n">
        <v>10</v>
      </c>
      <c r="N34" s="22" t="n">
        <v>9</v>
      </c>
      <c r="O34" s="22" t="n">
        <v>10</v>
      </c>
      <c r="P34" s="22" t="n">
        <v>10</v>
      </c>
      <c r="Q34" s="22" t="n">
        <v>10</v>
      </c>
      <c r="R34" s="22" t="n">
        <v>10</v>
      </c>
      <c r="S34" s="22" t="n">
        <v>8</v>
      </c>
      <c r="T34" s="22" t="n">
        <v>10</v>
      </c>
      <c r="U34" s="22" t="n">
        <v>10</v>
      </c>
      <c r="V34" s="22" t="n">
        <v>9</v>
      </c>
      <c r="W34" s="20" t="n">
        <f aca="false">AVERAGE(D34:V34)</f>
        <v>9.68421052631579</v>
      </c>
      <c r="X34" s="21" t="str">
        <f aca="false">IF(W34&gt;=8,"Excellent",IF(W34&gt;=6,"Very good",IF(W34&gt;=4,"Good",IF(W34&gt;=2,"Satisfactory",IF(W34&gt;=1,"Unsatisfactory")))))</f>
        <v>Excellent</v>
      </c>
    </row>
    <row r="35" customFormat="false" ht="19.5" hidden="false" customHeight="true" outlineLevel="0" collapsed="false">
      <c r="A35" s="16"/>
      <c r="B35" s="17"/>
      <c r="C35" s="70" t="s">
        <v>70</v>
      </c>
      <c r="D35" s="22" t="n">
        <v>10</v>
      </c>
      <c r="E35" s="22" t="n">
        <v>10</v>
      </c>
      <c r="F35" s="22" t="n">
        <v>10</v>
      </c>
      <c r="G35" s="22" t="n">
        <v>10</v>
      </c>
      <c r="H35" s="22" t="n">
        <v>9</v>
      </c>
      <c r="I35" s="22" t="n">
        <v>10</v>
      </c>
      <c r="J35" s="22" t="n">
        <v>10</v>
      </c>
      <c r="K35" s="22" t="n">
        <v>10</v>
      </c>
      <c r="L35" s="22" t="n">
        <v>9</v>
      </c>
      <c r="M35" s="22" t="n">
        <v>10</v>
      </c>
      <c r="N35" s="22" t="n">
        <v>9</v>
      </c>
      <c r="O35" s="22" t="n">
        <v>10</v>
      </c>
      <c r="P35" s="22" t="n">
        <v>10</v>
      </c>
      <c r="Q35" s="22" t="n">
        <v>10</v>
      </c>
      <c r="R35" s="22" t="n">
        <v>10</v>
      </c>
      <c r="S35" s="22" t="n">
        <v>8</v>
      </c>
      <c r="T35" s="22" t="n">
        <v>10</v>
      </c>
      <c r="U35" s="22" t="n">
        <v>10</v>
      </c>
      <c r="V35" s="22" t="n">
        <v>9</v>
      </c>
      <c r="W35" s="20" t="n">
        <f aca="false">AVERAGE(D35:V35)</f>
        <v>9.68421052631579</v>
      </c>
      <c r="X35" s="21" t="str">
        <f aca="false">IF(W35&gt;=8,"Excellent",IF(W35&gt;=6,"Very good",IF(W35&gt;=4,"Good",IF(W35&gt;=2,"Satisfactory",IF(W35&gt;=1,"Unsatisfactory")))))</f>
        <v>Excellent</v>
      </c>
    </row>
    <row r="36" customFormat="false" ht="19.5" hidden="false" customHeight="true" outlineLevel="0" collapsed="false">
      <c r="A36" s="16"/>
      <c r="B36" s="71" t="s">
        <v>71</v>
      </c>
      <c r="C36" s="18" t="s">
        <v>15</v>
      </c>
      <c r="D36" s="22" t="n">
        <v>2</v>
      </c>
      <c r="E36" s="22" t="n">
        <v>8</v>
      </c>
      <c r="F36" s="22" t="n">
        <v>6</v>
      </c>
      <c r="G36" s="22" t="n">
        <v>8</v>
      </c>
      <c r="H36" s="22" t="n">
        <v>9</v>
      </c>
      <c r="I36" s="22" t="n">
        <v>8</v>
      </c>
      <c r="J36" s="22" t="n">
        <v>6</v>
      </c>
      <c r="K36" s="22" t="n">
        <v>10</v>
      </c>
      <c r="L36" s="22" t="n">
        <v>8</v>
      </c>
      <c r="M36" s="22" t="n">
        <v>10</v>
      </c>
      <c r="N36" s="22" t="n">
        <v>5</v>
      </c>
      <c r="O36" s="22" t="n">
        <v>10</v>
      </c>
      <c r="P36" s="22" t="n">
        <v>7</v>
      </c>
      <c r="Q36" s="22" t="n">
        <v>5</v>
      </c>
      <c r="R36" s="22" t="n">
        <v>10</v>
      </c>
      <c r="S36" s="22" t="n">
        <v>8</v>
      </c>
      <c r="T36" s="22" t="n">
        <v>7</v>
      </c>
      <c r="U36" s="22" t="n">
        <v>7</v>
      </c>
      <c r="V36" s="22" t="n">
        <v>8</v>
      </c>
      <c r="W36" s="20" t="n">
        <f aca="false">AVERAGE(D36:V36)</f>
        <v>7.47368421052632</v>
      </c>
      <c r="X36" s="21" t="str">
        <f aca="false">IF(W36&gt;=8,"Excellent",IF(W36&gt;=6,"Very good",IF(W36&gt;=4,"Good",IF(W36&gt;=2,"Satisfactory",IF(W36&gt;=1,"Unsatisfactory")))))</f>
        <v>Very good</v>
      </c>
    </row>
    <row r="37" customFormat="false" ht="19.5" hidden="false" customHeight="true" outlineLevel="0" collapsed="false">
      <c r="A37" s="16"/>
      <c r="B37" s="16"/>
      <c r="C37" s="18" t="s">
        <v>16</v>
      </c>
      <c r="D37" s="22" t="n">
        <v>2</v>
      </c>
      <c r="E37" s="22" t="n">
        <v>8</v>
      </c>
      <c r="F37" s="22" t="n">
        <v>5</v>
      </c>
      <c r="G37" s="22" t="n">
        <v>8</v>
      </c>
      <c r="H37" s="22" t="n">
        <v>9</v>
      </c>
      <c r="I37" s="22" t="n">
        <v>7</v>
      </c>
      <c r="J37" s="22" t="n">
        <v>6</v>
      </c>
      <c r="K37" s="22" t="n">
        <v>9</v>
      </c>
      <c r="L37" s="22" t="n">
        <v>9</v>
      </c>
      <c r="M37" s="22" t="n">
        <v>9</v>
      </c>
      <c r="N37" s="22" t="n">
        <v>5</v>
      </c>
      <c r="O37" s="22" t="n">
        <v>8</v>
      </c>
      <c r="P37" s="22" t="n">
        <v>8</v>
      </c>
      <c r="Q37" s="22" t="n">
        <v>5</v>
      </c>
      <c r="R37" s="22" t="n">
        <v>10</v>
      </c>
      <c r="S37" s="22" t="n">
        <v>8</v>
      </c>
      <c r="T37" s="22" t="n">
        <v>7</v>
      </c>
      <c r="U37" s="22" t="n">
        <v>7</v>
      </c>
      <c r="V37" s="22" t="n">
        <v>8</v>
      </c>
      <c r="W37" s="20" t="n">
        <f aca="false">AVERAGE(D37:V37)</f>
        <v>7.26315789473684</v>
      </c>
      <c r="X37" s="21" t="str">
        <f aca="false">IF(W37&gt;=8,"Excellent",IF(W37&gt;=6,"Very good",IF(W37&gt;=4,"Good",IF(W37&gt;=2,"Satisfactory",IF(W37&gt;=1,"Unsatisfactory")))))</f>
        <v>Very good</v>
      </c>
    </row>
    <row r="38" customFormat="false" ht="19.5" hidden="false" customHeight="true" outlineLevel="0" collapsed="false">
      <c r="A38" s="16"/>
      <c r="B38" s="16"/>
      <c r="C38" s="18" t="s">
        <v>17</v>
      </c>
      <c r="D38" s="22" t="n">
        <v>2</v>
      </c>
      <c r="E38" s="16" t="n">
        <v>8</v>
      </c>
      <c r="F38" s="22" t="n">
        <v>4</v>
      </c>
      <c r="G38" s="22" t="n">
        <v>7</v>
      </c>
      <c r="H38" s="15" t="n">
        <v>8</v>
      </c>
      <c r="I38" s="22" t="n">
        <v>7</v>
      </c>
      <c r="J38" s="22" t="n">
        <v>6</v>
      </c>
      <c r="K38" s="15" t="n">
        <v>9</v>
      </c>
      <c r="L38" s="22" t="n">
        <v>9</v>
      </c>
      <c r="M38" s="22" t="n">
        <v>10</v>
      </c>
      <c r="N38" s="22" t="n">
        <v>5</v>
      </c>
      <c r="O38" s="22" t="n">
        <v>8</v>
      </c>
      <c r="P38" s="22" t="n">
        <v>9</v>
      </c>
      <c r="Q38" s="22" t="n">
        <v>5</v>
      </c>
      <c r="R38" s="22" t="n">
        <v>10</v>
      </c>
      <c r="S38" s="22" t="n">
        <v>8</v>
      </c>
      <c r="T38" s="22" t="n">
        <v>6</v>
      </c>
      <c r="U38" s="22" t="n">
        <v>7</v>
      </c>
      <c r="V38" s="22" t="n">
        <v>7</v>
      </c>
      <c r="W38" s="20" t="n">
        <f aca="false">AVERAGE(D38:V38)</f>
        <v>7.10526315789474</v>
      </c>
      <c r="X38" s="21" t="str">
        <f aca="false">IF(W38&gt;=8,"Excellent",IF(W38&gt;=6,"Very good",IF(W38&gt;=4,"Good",IF(W38&gt;=2,"Satisfactory",IF(W38&gt;=1,"Unsatisfactory")))))</f>
        <v>Very good</v>
      </c>
    </row>
    <row r="39" customFormat="false" ht="19.5" hidden="false" customHeight="true" outlineLevel="0" collapsed="false">
      <c r="A39" s="16"/>
      <c r="B39" s="16"/>
      <c r="C39" s="15" t="s">
        <v>18</v>
      </c>
      <c r="D39" s="22" t="n">
        <v>2</v>
      </c>
      <c r="E39" s="15" t="n">
        <v>9</v>
      </c>
      <c r="F39" s="22" t="n">
        <v>5</v>
      </c>
      <c r="G39" s="22" t="n">
        <v>7</v>
      </c>
      <c r="H39" s="15" t="n">
        <v>8</v>
      </c>
      <c r="I39" s="22" t="n">
        <v>10</v>
      </c>
      <c r="J39" s="22" t="n">
        <v>6</v>
      </c>
      <c r="K39" s="15" t="n">
        <v>10</v>
      </c>
      <c r="L39" s="22" t="n">
        <v>8</v>
      </c>
      <c r="M39" s="22" t="n">
        <v>10</v>
      </c>
      <c r="N39" s="22" t="n">
        <v>5</v>
      </c>
      <c r="O39" s="22" t="n">
        <v>8</v>
      </c>
      <c r="P39" s="22" t="n">
        <v>8</v>
      </c>
      <c r="Q39" s="22" t="n">
        <v>5</v>
      </c>
      <c r="R39" s="22" t="n">
        <v>10</v>
      </c>
      <c r="S39" s="22" t="n">
        <v>8</v>
      </c>
      <c r="T39" s="22" t="n">
        <v>7</v>
      </c>
      <c r="U39" s="22" t="n">
        <v>7</v>
      </c>
      <c r="V39" s="22" t="n">
        <v>8</v>
      </c>
      <c r="W39" s="20" t="n">
        <f aca="false">AVERAGE(D39:V39)</f>
        <v>7.42105263157895</v>
      </c>
      <c r="X39" s="21" t="str">
        <f aca="false">IF(W39&gt;=8,"Excellent",IF(W39&gt;=6,"Very good",IF(W39&gt;=4,"Good",IF(W39&gt;=2,"Satisfactory",IF(W39&gt;=1,"Unsatisfactory")))))</f>
        <v>Very good</v>
      </c>
    </row>
    <row r="40" customFormat="false" ht="19.5" hidden="false" customHeight="true" outlineLevel="0" collapsed="false">
      <c r="A40" s="16"/>
      <c r="B40" s="16"/>
      <c r="C40" s="15" t="s">
        <v>19</v>
      </c>
      <c r="D40" s="22" t="n">
        <v>6</v>
      </c>
      <c r="E40" s="22" t="n">
        <v>10</v>
      </c>
      <c r="F40" s="22" t="n">
        <v>5</v>
      </c>
      <c r="G40" s="22" t="n">
        <v>8</v>
      </c>
      <c r="H40" s="22" t="n">
        <v>8</v>
      </c>
      <c r="I40" s="22" t="n">
        <v>10</v>
      </c>
      <c r="J40" s="22" t="n">
        <v>6</v>
      </c>
      <c r="K40" s="22" t="n">
        <v>9</v>
      </c>
      <c r="L40" s="22" t="n">
        <v>8</v>
      </c>
      <c r="M40" s="22" t="n">
        <v>10</v>
      </c>
      <c r="N40" s="22" t="n">
        <v>5</v>
      </c>
      <c r="O40" s="22" t="n">
        <v>9</v>
      </c>
      <c r="P40" s="22" t="n">
        <v>8</v>
      </c>
      <c r="Q40" s="22" t="n">
        <v>5</v>
      </c>
      <c r="R40" s="22" t="n">
        <v>10</v>
      </c>
      <c r="S40" s="22" t="n">
        <v>8</v>
      </c>
      <c r="T40" s="22" t="n">
        <v>8</v>
      </c>
      <c r="U40" s="22" t="n">
        <v>7</v>
      </c>
      <c r="V40" s="22" t="n">
        <v>8</v>
      </c>
      <c r="W40" s="20" t="n">
        <f aca="false">AVERAGE(D40:V40)</f>
        <v>7.78947368421053</v>
      </c>
      <c r="X40" s="21" t="str">
        <f aca="false">IF(W40&gt;=8,"Excellent",IF(W40&gt;=6,"Very good",IF(W40&gt;=4,"Good",IF(W40&gt;=2,"Satisfactory",IF(W40&gt;=1,"Unsatisfactory")))))</f>
        <v>Very good</v>
      </c>
    </row>
    <row r="41" customFormat="false" ht="19.5" hidden="false" customHeight="true" outlineLevel="0" collapsed="false">
      <c r="A41" s="16" t="s">
        <v>72</v>
      </c>
      <c r="B41" s="17" t="s">
        <v>73</v>
      </c>
      <c r="C41" s="18" t="s">
        <v>15</v>
      </c>
      <c r="D41" s="22" t="n">
        <v>6</v>
      </c>
      <c r="E41" s="22" t="n">
        <v>9</v>
      </c>
      <c r="F41" s="22" t="n">
        <v>9</v>
      </c>
      <c r="G41" s="22" t="n">
        <v>10</v>
      </c>
      <c r="H41" s="22" t="n">
        <v>9</v>
      </c>
      <c r="I41" s="22" t="n">
        <v>10</v>
      </c>
      <c r="J41" s="22" t="n">
        <v>10</v>
      </c>
      <c r="K41" s="22" t="n">
        <v>10</v>
      </c>
      <c r="L41" s="22" t="n">
        <v>9</v>
      </c>
      <c r="M41" s="22" t="n">
        <v>10</v>
      </c>
      <c r="N41" s="22" t="n">
        <v>9</v>
      </c>
      <c r="O41" s="22" t="n">
        <v>9</v>
      </c>
      <c r="P41" s="22" t="n">
        <v>10</v>
      </c>
      <c r="Q41" s="22" t="n">
        <v>5</v>
      </c>
      <c r="R41" s="22" t="n">
        <v>10</v>
      </c>
      <c r="S41" s="22" t="n">
        <v>8</v>
      </c>
      <c r="T41" s="22" t="n">
        <v>9</v>
      </c>
      <c r="U41" s="22" t="n">
        <v>10</v>
      </c>
      <c r="V41" s="22" t="n">
        <v>9</v>
      </c>
      <c r="W41" s="20" t="n">
        <f aca="false">AVERAGE(D41:V41)</f>
        <v>9</v>
      </c>
      <c r="X41" s="21" t="str">
        <f aca="false">IF(W41&gt;=8,"Excellent",IF(W41&gt;=6,"Very good",IF(W41&gt;=4,"Good",IF(W41&gt;=2,"Satisfactory",IF(W41&gt;=1,"Unsatisfactory")))))</f>
        <v>Excellent</v>
      </c>
    </row>
    <row r="42" customFormat="false" ht="19.5" hidden="false" customHeight="true" outlineLevel="0" collapsed="false">
      <c r="A42" s="16"/>
      <c r="B42" s="16"/>
      <c r="C42" s="18" t="s">
        <v>16</v>
      </c>
      <c r="D42" s="22" t="n">
        <v>6</v>
      </c>
      <c r="E42" s="22" t="n">
        <v>8</v>
      </c>
      <c r="F42" s="22" t="n">
        <v>9</v>
      </c>
      <c r="G42" s="22" t="n">
        <v>10</v>
      </c>
      <c r="H42" s="22" t="n">
        <v>9</v>
      </c>
      <c r="I42" s="22" t="n">
        <v>10</v>
      </c>
      <c r="J42" s="22" t="n">
        <v>10</v>
      </c>
      <c r="K42" s="22" t="n">
        <v>10</v>
      </c>
      <c r="L42" s="22" t="n">
        <v>9</v>
      </c>
      <c r="M42" s="22" t="n">
        <v>10</v>
      </c>
      <c r="N42" s="22" t="n">
        <v>9</v>
      </c>
      <c r="O42" s="22" t="n">
        <v>10</v>
      </c>
      <c r="P42" s="22" t="n">
        <v>9</v>
      </c>
      <c r="Q42" s="22" t="n">
        <v>5</v>
      </c>
      <c r="R42" s="22" t="n">
        <v>10</v>
      </c>
      <c r="S42" s="22" t="n">
        <v>8</v>
      </c>
      <c r="T42" s="22" t="n">
        <v>9</v>
      </c>
      <c r="U42" s="22" t="n">
        <v>10</v>
      </c>
      <c r="V42" s="22" t="n">
        <v>9</v>
      </c>
      <c r="W42" s="20" t="n">
        <f aca="false">AVERAGE(D42:V42)</f>
        <v>8.94736842105263</v>
      </c>
      <c r="X42" s="21" t="str">
        <f aca="false">IF(W42&gt;=8,"Excellent",IF(W42&gt;=6,"Very good",IF(W42&gt;=4,"Good",IF(W42&gt;=2,"Satisfactory",IF(W42&gt;=1,"Unsatisfactory")))))</f>
        <v>Excellent</v>
      </c>
    </row>
    <row r="43" customFormat="false" ht="19.5" hidden="false" customHeight="true" outlineLevel="0" collapsed="false">
      <c r="A43" s="16"/>
      <c r="B43" s="16"/>
      <c r="C43" s="18" t="s">
        <v>17</v>
      </c>
      <c r="D43" s="22" t="n">
        <v>6</v>
      </c>
      <c r="E43" s="22" t="n">
        <v>9</v>
      </c>
      <c r="F43" s="22" t="n">
        <v>9</v>
      </c>
      <c r="G43" s="22" t="n">
        <v>10</v>
      </c>
      <c r="H43" s="22" t="n">
        <v>9</v>
      </c>
      <c r="I43" s="22" t="n">
        <v>10</v>
      </c>
      <c r="J43" s="22" t="n">
        <v>10</v>
      </c>
      <c r="K43" s="22" t="n">
        <v>9</v>
      </c>
      <c r="L43" s="22" t="n">
        <v>10</v>
      </c>
      <c r="M43" s="22" t="n">
        <v>10</v>
      </c>
      <c r="N43" s="22" t="n">
        <v>9</v>
      </c>
      <c r="O43" s="22" t="n">
        <v>9</v>
      </c>
      <c r="P43" s="22" t="n">
        <v>10</v>
      </c>
      <c r="Q43" s="22" t="n">
        <v>5</v>
      </c>
      <c r="R43" s="22" t="n">
        <v>10</v>
      </c>
      <c r="S43" s="22" t="n">
        <v>8</v>
      </c>
      <c r="T43" s="22" t="n">
        <v>9</v>
      </c>
      <c r="U43" s="22" t="n">
        <v>10</v>
      </c>
      <c r="V43" s="22" t="n">
        <v>9</v>
      </c>
      <c r="W43" s="20" t="n">
        <f aca="false">AVERAGE(D43:V43)</f>
        <v>9</v>
      </c>
      <c r="X43" s="21" t="str">
        <f aca="false">IF(W43&gt;=8,"Excellent",IF(W43&gt;=6,"Very good",IF(W43&gt;=4,"Good",IF(W43&gt;=2,"Satisfactory",IF(W43&gt;=1,"Unsatisfactory")))))</f>
        <v>Excellent</v>
      </c>
    </row>
    <row r="44" customFormat="false" ht="19.5" hidden="false" customHeight="true" outlineLevel="0" collapsed="false">
      <c r="A44" s="16"/>
      <c r="B44" s="16"/>
      <c r="C44" s="15" t="s">
        <v>18</v>
      </c>
      <c r="D44" s="22" t="n">
        <v>6</v>
      </c>
      <c r="E44" s="15" t="n">
        <v>9</v>
      </c>
      <c r="F44" s="15" t="n">
        <v>9</v>
      </c>
      <c r="G44" s="22" t="n">
        <v>10</v>
      </c>
      <c r="H44" s="15" t="n">
        <v>9</v>
      </c>
      <c r="I44" s="22" t="n">
        <v>10</v>
      </c>
      <c r="J44" s="22" t="n">
        <v>10</v>
      </c>
      <c r="K44" s="15" t="n">
        <v>10</v>
      </c>
      <c r="L44" s="22" t="n">
        <v>8</v>
      </c>
      <c r="M44" s="15" t="n">
        <v>10</v>
      </c>
      <c r="N44" s="22" t="n">
        <v>9</v>
      </c>
      <c r="O44" s="22" t="n">
        <v>10</v>
      </c>
      <c r="P44" s="22" t="n">
        <v>10</v>
      </c>
      <c r="Q44" s="22" t="n">
        <v>5</v>
      </c>
      <c r="R44" s="22" t="n">
        <v>10</v>
      </c>
      <c r="S44" s="22" t="n">
        <v>8</v>
      </c>
      <c r="T44" s="22" t="n">
        <v>9</v>
      </c>
      <c r="U44" s="22" t="n">
        <v>10</v>
      </c>
      <c r="V44" s="22" t="n">
        <v>10</v>
      </c>
      <c r="W44" s="20" t="n">
        <f aca="false">AVERAGE(D44:V44)</f>
        <v>9.05263157894737</v>
      </c>
      <c r="X44" s="21" t="str">
        <f aca="false">IF(W44&gt;=8,"Excellent",IF(W44&gt;=6,"Very good",IF(W44&gt;=4,"Good",IF(W44&gt;=2,"Satisfactory",IF(W44&gt;=1,"Unsatisfactory")))))</f>
        <v>Excellent</v>
      </c>
    </row>
    <row r="45" customFormat="false" ht="19.5" hidden="false" customHeight="true" outlineLevel="0" collapsed="false">
      <c r="A45" s="16"/>
      <c r="B45" s="17"/>
      <c r="C45" s="15" t="s">
        <v>19</v>
      </c>
      <c r="D45" s="22" t="n">
        <v>6</v>
      </c>
      <c r="E45" s="22" t="n">
        <v>10</v>
      </c>
      <c r="F45" s="22" t="n">
        <v>9</v>
      </c>
      <c r="G45" s="22" t="n">
        <v>10</v>
      </c>
      <c r="H45" s="22" t="n">
        <v>9</v>
      </c>
      <c r="I45" s="22" t="n">
        <v>10</v>
      </c>
      <c r="J45" s="22" t="n">
        <v>10</v>
      </c>
      <c r="K45" s="22" t="n">
        <v>10</v>
      </c>
      <c r="L45" s="22" t="n">
        <v>9</v>
      </c>
      <c r="M45" s="22" t="n">
        <v>10</v>
      </c>
      <c r="N45" s="22" t="n">
        <v>9</v>
      </c>
      <c r="O45" s="22" t="n">
        <v>9</v>
      </c>
      <c r="P45" s="22" t="n">
        <v>10</v>
      </c>
      <c r="Q45" s="22" t="n">
        <v>5</v>
      </c>
      <c r="R45" s="22" t="n">
        <v>10</v>
      </c>
      <c r="S45" s="22" t="n">
        <v>8</v>
      </c>
      <c r="T45" s="22" t="n">
        <v>9</v>
      </c>
      <c r="U45" s="22" t="n">
        <v>10</v>
      </c>
      <c r="V45" s="22" t="n">
        <v>10</v>
      </c>
      <c r="W45" s="20" t="n">
        <f aca="false">AVERAGE(D45:V45)</f>
        <v>9.10526315789474</v>
      </c>
      <c r="X45" s="21" t="str">
        <f aca="false">IF(W45&gt;=8,"Excellent",IF(W45&gt;=6,"Very good",IF(W45&gt;=4,"Good",IF(W45&gt;=2,"Satisfactory",IF(W45&gt;=1,"Unsatisfactory")))))</f>
        <v>Excellent</v>
      </c>
    </row>
    <row r="46" customFormat="false" ht="19.5" hidden="false" customHeight="true" outlineLevel="0" collapsed="false">
      <c r="A46" s="16"/>
      <c r="B46" s="17" t="s">
        <v>74</v>
      </c>
      <c r="C46" s="18" t="s">
        <v>15</v>
      </c>
      <c r="D46" s="22" t="n">
        <v>2</v>
      </c>
      <c r="E46" s="22" t="n">
        <v>9</v>
      </c>
      <c r="F46" s="22" t="n">
        <v>4</v>
      </c>
      <c r="G46" s="22" t="n">
        <v>8</v>
      </c>
      <c r="H46" s="22" t="n">
        <v>8</v>
      </c>
      <c r="I46" s="22" t="n">
        <v>6</v>
      </c>
      <c r="J46" s="22" t="n">
        <v>6</v>
      </c>
      <c r="K46" s="22" t="n">
        <v>10</v>
      </c>
      <c r="L46" s="22" t="n">
        <v>9</v>
      </c>
      <c r="M46" s="22" t="n">
        <v>9</v>
      </c>
      <c r="N46" s="22" t="n">
        <v>6</v>
      </c>
      <c r="O46" s="22" t="n">
        <v>9</v>
      </c>
      <c r="P46" s="22" t="n">
        <v>8</v>
      </c>
      <c r="Q46" s="22" t="n">
        <v>5</v>
      </c>
      <c r="R46" s="22" t="n">
        <v>10</v>
      </c>
      <c r="S46" s="22" t="n">
        <v>7</v>
      </c>
      <c r="T46" s="22" t="n">
        <v>9</v>
      </c>
      <c r="U46" s="22" t="n">
        <v>7</v>
      </c>
      <c r="V46" s="22" t="n">
        <v>8</v>
      </c>
      <c r="W46" s="20" t="n">
        <f aca="false">AVERAGE(D46:V46)</f>
        <v>7.36842105263158</v>
      </c>
      <c r="X46" s="21" t="str">
        <f aca="false">IF(W46&gt;=8,"Excellent",IF(W46&gt;=6,"Very good",IF(W46&gt;=4,"Good",IF(W46&gt;=2,"Satisfactory",IF(W46&gt;=1,"Unsatisfactory")))))</f>
        <v>Very good</v>
      </c>
    </row>
    <row r="47" customFormat="false" ht="19.5" hidden="false" customHeight="true" outlineLevel="0" collapsed="false">
      <c r="A47" s="16"/>
      <c r="B47" s="16"/>
      <c r="C47" s="18" t="s">
        <v>16</v>
      </c>
      <c r="D47" s="22" t="n">
        <v>2</v>
      </c>
      <c r="E47" s="22" t="n">
        <v>9</v>
      </c>
      <c r="F47" s="22" t="n">
        <v>4</v>
      </c>
      <c r="G47" s="22" t="n">
        <v>8</v>
      </c>
      <c r="H47" s="22" t="n">
        <v>8</v>
      </c>
      <c r="I47" s="22" t="n">
        <v>6</v>
      </c>
      <c r="J47" s="22" t="n">
        <v>6</v>
      </c>
      <c r="K47" s="22" t="n">
        <v>9</v>
      </c>
      <c r="L47" s="22" t="n">
        <v>8</v>
      </c>
      <c r="M47" s="22" t="n">
        <v>9</v>
      </c>
      <c r="N47" s="22" t="n">
        <v>6</v>
      </c>
      <c r="O47" s="22" t="n">
        <v>10</v>
      </c>
      <c r="P47" s="22" t="n">
        <v>8</v>
      </c>
      <c r="Q47" s="22" t="n">
        <v>5</v>
      </c>
      <c r="R47" s="22" t="n">
        <v>10</v>
      </c>
      <c r="S47" s="22" t="n">
        <v>7</v>
      </c>
      <c r="T47" s="22" t="n">
        <v>8</v>
      </c>
      <c r="U47" s="22" t="n">
        <v>7</v>
      </c>
      <c r="V47" s="22" t="n">
        <v>8</v>
      </c>
      <c r="W47" s="20" t="n">
        <f aca="false">AVERAGE(D47:V47)</f>
        <v>7.26315789473684</v>
      </c>
      <c r="X47" s="21" t="str">
        <f aca="false">IF(W47&gt;=8,"Excellent",IF(W47&gt;=6,"Very good",IF(W47&gt;=4,"Good",IF(W47&gt;=2,"Satisfactory",IF(W47&gt;=1,"Unsatisfactory")))))</f>
        <v>Very good</v>
      </c>
    </row>
    <row r="48" customFormat="false" ht="19.5" hidden="false" customHeight="true" outlineLevel="0" collapsed="false">
      <c r="A48" s="16"/>
      <c r="B48" s="16"/>
      <c r="C48" s="18" t="s">
        <v>17</v>
      </c>
      <c r="D48" s="22" t="n">
        <v>2</v>
      </c>
      <c r="E48" s="15" t="n">
        <v>9</v>
      </c>
      <c r="F48" s="15" t="n">
        <v>4</v>
      </c>
      <c r="G48" s="22" t="n">
        <v>7</v>
      </c>
      <c r="H48" s="15" t="n">
        <v>8</v>
      </c>
      <c r="I48" s="22" t="n">
        <v>5</v>
      </c>
      <c r="J48" s="22" t="n">
        <v>6</v>
      </c>
      <c r="K48" s="15" t="n">
        <v>9</v>
      </c>
      <c r="L48" s="22" t="n">
        <v>9</v>
      </c>
      <c r="M48" s="22" t="n">
        <v>10</v>
      </c>
      <c r="N48" s="22" t="n">
        <v>6</v>
      </c>
      <c r="O48" s="22" t="n">
        <v>10</v>
      </c>
      <c r="P48" s="22" t="n">
        <v>8</v>
      </c>
      <c r="Q48" s="22" t="n">
        <v>5</v>
      </c>
      <c r="R48" s="22" t="n">
        <v>10</v>
      </c>
      <c r="S48" s="22" t="n">
        <v>7</v>
      </c>
      <c r="T48" s="22" t="n">
        <v>8</v>
      </c>
      <c r="U48" s="22" t="n">
        <v>6</v>
      </c>
      <c r="V48" s="22" t="n">
        <v>8</v>
      </c>
      <c r="W48" s="20" t="n">
        <f aca="false">AVERAGE(D48:V48)</f>
        <v>7.21052631578947</v>
      </c>
      <c r="X48" s="21" t="str">
        <f aca="false">IF(W48&gt;=8,"Excellent",IF(W48&gt;=6,"Very good",IF(W48&gt;=4,"Good",IF(W48&gt;=2,"Satisfactory",IF(W48&gt;=1,"Unsatisfactory")))))</f>
        <v>Very good</v>
      </c>
    </row>
    <row r="49" customFormat="false" ht="19.5" hidden="false" customHeight="true" outlineLevel="0" collapsed="false">
      <c r="A49" s="16"/>
      <c r="B49" s="16"/>
      <c r="C49" s="15" t="s">
        <v>18</v>
      </c>
      <c r="D49" s="22" t="n">
        <v>2</v>
      </c>
      <c r="E49" s="15" t="n">
        <v>10</v>
      </c>
      <c r="F49" s="15" t="n">
        <v>4</v>
      </c>
      <c r="G49" s="22" t="n">
        <v>7</v>
      </c>
      <c r="H49" s="15" t="n">
        <v>8</v>
      </c>
      <c r="I49" s="22" t="n">
        <v>9</v>
      </c>
      <c r="J49" s="22" t="n">
        <v>6</v>
      </c>
      <c r="K49" s="15" t="n">
        <v>10</v>
      </c>
      <c r="L49" s="22" t="n">
        <v>8</v>
      </c>
      <c r="M49" s="22" t="n">
        <v>10</v>
      </c>
      <c r="N49" s="22" t="n">
        <v>6</v>
      </c>
      <c r="O49" s="22" t="n">
        <v>10</v>
      </c>
      <c r="P49" s="22" t="n">
        <v>9</v>
      </c>
      <c r="Q49" s="22" t="n">
        <v>5</v>
      </c>
      <c r="R49" s="22" t="n">
        <v>10</v>
      </c>
      <c r="S49" s="22" t="n">
        <v>7</v>
      </c>
      <c r="T49" s="22" t="n">
        <v>8</v>
      </c>
      <c r="U49" s="22" t="n">
        <v>7</v>
      </c>
      <c r="V49" s="22" t="n">
        <v>8</v>
      </c>
      <c r="W49" s="20" t="n">
        <f aca="false">AVERAGE(D49:V49)</f>
        <v>7.57894736842105</v>
      </c>
      <c r="X49" s="21" t="str">
        <f aca="false">IF(W49&gt;=8,"Excellent",IF(W49&gt;=6,"Very good",IF(W49&gt;=4,"Good",IF(W49&gt;=2,"Satisfactory",IF(W49&gt;=1,"Unsatisfactory")))))</f>
        <v>Very good</v>
      </c>
    </row>
    <row r="50" customFormat="false" ht="19.5" hidden="false" customHeight="true" outlineLevel="0" collapsed="false">
      <c r="A50" s="16"/>
      <c r="B50" s="16"/>
      <c r="C50" s="15" t="s">
        <v>19</v>
      </c>
      <c r="D50" s="22" t="n">
        <v>2</v>
      </c>
      <c r="E50" s="22" t="n">
        <v>10</v>
      </c>
      <c r="F50" s="22" t="n">
        <v>4</v>
      </c>
      <c r="G50" s="22" t="n">
        <v>7</v>
      </c>
      <c r="H50" s="22" t="n">
        <v>8</v>
      </c>
      <c r="I50" s="22" t="n">
        <v>9</v>
      </c>
      <c r="J50" s="22" t="n">
        <v>6</v>
      </c>
      <c r="K50" s="22" t="n">
        <v>9</v>
      </c>
      <c r="L50" s="22" t="n">
        <v>8</v>
      </c>
      <c r="M50" s="22" t="n">
        <v>10</v>
      </c>
      <c r="N50" s="22" t="n">
        <v>6</v>
      </c>
      <c r="O50" s="22" t="n">
        <v>9</v>
      </c>
      <c r="P50" s="22" t="n">
        <v>9</v>
      </c>
      <c r="Q50" s="22" t="n">
        <v>5</v>
      </c>
      <c r="R50" s="22" t="n">
        <v>10</v>
      </c>
      <c r="S50" s="22" t="n">
        <v>7</v>
      </c>
      <c r="T50" s="22" t="n">
        <v>8</v>
      </c>
      <c r="U50" s="22" t="n">
        <v>7</v>
      </c>
      <c r="V50" s="22" t="n">
        <v>8</v>
      </c>
      <c r="W50" s="20" t="n">
        <f aca="false">AVERAGE(D50:V50)</f>
        <v>7.47368421052632</v>
      </c>
      <c r="X50" s="21" t="str">
        <f aca="false">IF(W50&gt;=8,"Excellent",IF(W50&gt;=6,"Very good",IF(W50&gt;=4,"Good",IF(W50&gt;=2,"Satisfactory",IF(W50&gt;=1,"Unsatisfactory")))))</f>
        <v>Very good</v>
      </c>
    </row>
    <row r="51" customFormat="false" ht="19.5" hidden="false" customHeight="true" outlineLevel="0" collapsed="false">
      <c r="A51" s="16" t="s">
        <v>75</v>
      </c>
      <c r="B51" s="17" t="s">
        <v>76</v>
      </c>
      <c r="C51" s="18" t="s">
        <v>15</v>
      </c>
      <c r="D51" s="22" t="n">
        <v>3</v>
      </c>
      <c r="E51" s="22" t="n">
        <v>10</v>
      </c>
      <c r="F51" s="22" t="n">
        <v>10</v>
      </c>
      <c r="G51" s="22" t="n">
        <v>10</v>
      </c>
      <c r="H51" s="22" t="n">
        <v>9</v>
      </c>
      <c r="I51" s="22" t="n">
        <v>10</v>
      </c>
      <c r="J51" s="22" t="n">
        <v>10</v>
      </c>
      <c r="K51" s="22" t="n">
        <v>10</v>
      </c>
      <c r="L51" s="22" t="n">
        <v>10</v>
      </c>
      <c r="M51" s="22" t="n">
        <v>10</v>
      </c>
      <c r="N51" s="22" t="n">
        <v>8</v>
      </c>
      <c r="O51" s="22" t="n">
        <v>10</v>
      </c>
      <c r="P51" s="22" t="n">
        <v>10</v>
      </c>
      <c r="Q51" s="22" t="n">
        <v>9</v>
      </c>
      <c r="R51" s="22" t="n">
        <v>10</v>
      </c>
      <c r="S51" s="22" t="n">
        <v>8</v>
      </c>
      <c r="T51" s="22" t="n">
        <v>9</v>
      </c>
      <c r="U51" s="22" t="n">
        <v>10</v>
      </c>
      <c r="V51" s="22" t="n">
        <v>10</v>
      </c>
      <c r="W51" s="20" t="n">
        <f aca="false">AVERAGE(D51:V51)</f>
        <v>9.26315789473684</v>
      </c>
      <c r="X51" s="21" t="str">
        <f aca="false">IF(W51&gt;=8,"Excellent",IF(W51&gt;=6,"Very good",IF(W51&gt;=4,"Good",IF(W51&gt;=2,"Satisfactory",IF(W51&gt;=1,"Unsatisfactory")))))</f>
        <v>Excellent</v>
      </c>
    </row>
    <row r="52" customFormat="false" ht="19.5" hidden="false" customHeight="true" outlineLevel="0" collapsed="false">
      <c r="A52" s="16"/>
      <c r="B52" s="16"/>
      <c r="C52" s="18" t="s">
        <v>16</v>
      </c>
      <c r="D52" s="22" t="n">
        <v>3</v>
      </c>
      <c r="E52" s="22" t="n">
        <v>9</v>
      </c>
      <c r="F52" s="22" t="n">
        <v>10</v>
      </c>
      <c r="G52" s="22" t="n">
        <v>10</v>
      </c>
      <c r="H52" s="22" t="n">
        <v>9</v>
      </c>
      <c r="I52" s="22" t="n">
        <v>10</v>
      </c>
      <c r="J52" s="22" t="n">
        <v>10</v>
      </c>
      <c r="K52" s="22" t="n">
        <v>10</v>
      </c>
      <c r="L52" s="22" t="n">
        <v>9</v>
      </c>
      <c r="M52" s="22" t="n">
        <v>10</v>
      </c>
      <c r="N52" s="22" t="n">
        <v>8</v>
      </c>
      <c r="O52" s="22" t="n">
        <v>10</v>
      </c>
      <c r="P52" s="22" t="n">
        <v>10</v>
      </c>
      <c r="Q52" s="22" t="n">
        <v>9</v>
      </c>
      <c r="R52" s="22" t="n">
        <v>10</v>
      </c>
      <c r="S52" s="22" t="n">
        <v>8</v>
      </c>
      <c r="T52" s="22" t="n">
        <v>9</v>
      </c>
      <c r="U52" s="22" t="n">
        <v>10</v>
      </c>
      <c r="V52" s="22" t="n">
        <v>10</v>
      </c>
      <c r="W52" s="20" t="n">
        <f aca="false">AVERAGE(D52:V52)</f>
        <v>9.1578947368421</v>
      </c>
      <c r="X52" s="21" t="str">
        <f aca="false">IF(W52&gt;=8,"Excellent",IF(W52&gt;=6,"Very good",IF(W52&gt;=4,"Good",IF(W52&gt;=2,"Satisfactory",IF(W52&gt;=1,"Unsatisfactory")))))</f>
        <v>Excellent</v>
      </c>
    </row>
    <row r="53" customFormat="false" ht="19.5" hidden="false" customHeight="true" outlineLevel="0" collapsed="false">
      <c r="A53" s="16"/>
      <c r="B53" s="16"/>
      <c r="C53" s="18" t="s">
        <v>17</v>
      </c>
      <c r="D53" s="22" t="n">
        <v>3</v>
      </c>
      <c r="E53" s="22" t="n">
        <v>10</v>
      </c>
      <c r="F53" s="22" t="n">
        <v>10</v>
      </c>
      <c r="G53" s="22" t="n">
        <v>10</v>
      </c>
      <c r="H53" s="22" t="n">
        <v>9</v>
      </c>
      <c r="I53" s="22" t="n">
        <v>10</v>
      </c>
      <c r="J53" s="22" t="n">
        <v>10</v>
      </c>
      <c r="K53" s="22" t="n">
        <v>10</v>
      </c>
      <c r="L53" s="22" t="n">
        <v>10</v>
      </c>
      <c r="M53" s="22" t="n">
        <v>10</v>
      </c>
      <c r="N53" s="22" t="n">
        <v>8</v>
      </c>
      <c r="O53" s="22" t="n">
        <v>10</v>
      </c>
      <c r="P53" s="22" t="n">
        <v>10</v>
      </c>
      <c r="Q53" s="22" t="n">
        <v>9</v>
      </c>
      <c r="R53" s="22" t="n">
        <v>10</v>
      </c>
      <c r="S53" s="22" t="n">
        <v>8</v>
      </c>
      <c r="T53" s="22" t="n">
        <v>8</v>
      </c>
      <c r="U53" s="22" t="n">
        <v>10</v>
      </c>
      <c r="V53" s="22" t="n">
        <v>10</v>
      </c>
      <c r="W53" s="20" t="n">
        <f aca="false">AVERAGE(D53:V53)</f>
        <v>9.21052631578947</v>
      </c>
      <c r="X53" s="21" t="str">
        <f aca="false">IF(W53&gt;=8,"Excellent",IF(W53&gt;=6,"Very good",IF(W53&gt;=4,"Good",IF(W53&gt;=2,"Satisfactory",IF(W53&gt;=1,"Unsatisfactory")))))</f>
        <v>Excellent</v>
      </c>
    </row>
    <row r="54" customFormat="false" ht="19.5" hidden="false" customHeight="true" outlineLevel="0" collapsed="false">
      <c r="A54" s="16"/>
      <c r="B54" s="16"/>
      <c r="C54" s="15" t="s">
        <v>18</v>
      </c>
      <c r="D54" s="22" t="n">
        <v>3</v>
      </c>
      <c r="E54" s="15" t="n">
        <v>10</v>
      </c>
      <c r="F54" s="15" t="n">
        <v>10</v>
      </c>
      <c r="G54" s="22" t="n">
        <v>10</v>
      </c>
      <c r="H54" s="15" t="n">
        <v>9</v>
      </c>
      <c r="I54" s="22" t="n">
        <v>10</v>
      </c>
      <c r="J54" s="22" t="n">
        <v>10</v>
      </c>
      <c r="K54" s="15" t="n">
        <v>10</v>
      </c>
      <c r="L54" s="22" t="n">
        <v>9</v>
      </c>
      <c r="M54" s="15" t="n">
        <v>10</v>
      </c>
      <c r="N54" s="22" t="n">
        <v>8</v>
      </c>
      <c r="O54" s="22" t="n">
        <v>10</v>
      </c>
      <c r="P54" s="22" t="n">
        <v>10</v>
      </c>
      <c r="Q54" s="22" t="n">
        <v>9</v>
      </c>
      <c r="R54" s="22" t="n">
        <v>10</v>
      </c>
      <c r="S54" s="22" t="n">
        <v>8</v>
      </c>
      <c r="T54" s="22" t="n">
        <v>9</v>
      </c>
      <c r="U54" s="22" t="n">
        <v>10</v>
      </c>
      <c r="V54" s="22" t="n">
        <v>10</v>
      </c>
      <c r="W54" s="20" t="n">
        <f aca="false">AVERAGE(D54:V54)</f>
        <v>9.21052631578947</v>
      </c>
      <c r="X54" s="21" t="str">
        <f aca="false">IF(W54&gt;=8,"Excellent",IF(W54&gt;=6,"Very good",IF(W54&gt;=4,"Good",IF(W54&gt;=2,"Satisfactory",IF(W54&gt;=1,"Unsatisfactory")))))</f>
        <v>Excellent</v>
      </c>
    </row>
    <row r="55" customFormat="false" ht="19.5" hidden="false" customHeight="true" outlineLevel="0" collapsed="false">
      <c r="A55" s="16"/>
      <c r="B55" s="17"/>
      <c r="C55" s="15" t="s">
        <v>19</v>
      </c>
      <c r="D55" s="22" t="n">
        <v>3</v>
      </c>
      <c r="E55" s="22" t="n">
        <v>10</v>
      </c>
      <c r="F55" s="22" t="n">
        <v>10</v>
      </c>
      <c r="G55" s="22" t="n">
        <v>10</v>
      </c>
      <c r="H55" s="22" t="n">
        <v>9</v>
      </c>
      <c r="I55" s="22" t="n">
        <v>10</v>
      </c>
      <c r="J55" s="22" t="n">
        <v>10</v>
      </c>
      <c r="K55" s="22" t="n">
        <v>10</v>
      </c>
      <c r="L55" s="22" t="n">
        <v>9</v>
      </c>
      <c r="M55" s="22" t="n">
        <v>10</v>
      </c>
      <c r="N55" s="22" t="n">
        <v>8</v>
      </c>
      <c r="O55" s="22" t="n">
        <v>10</v>
      </c>
      <c r="P55" s="22" t="n">
        <v>9</v>
      </c>
      <c r="Q55" s="22" t="n">
        <v>9</v>
      </c>
      <c r="R55" s="22" t="n">
        <v>10</v>
      </c>
      <c r="S55" s="22" t="n">
        <v>8</v>
      </c>
      <c r="T55" s="22" t="n">
        <v>9</v>
      </c>
      <c r="U55" s="22" t="n">
        <v>10</v>
      </c>
      <c r="V55" s="22" t="n">
        <v>10</v>
      </c>
      <c r="W55" s="20" t="n">
        <f aca="false">AVERAGE(D55:V55)</f>
        <v>9.1578947368421</v>
      </c>
      <c r="X55" s="21" t="str">
        <f aca="false">IF(W55&gt;=8,"Excellent",IF(W55&gt;=6,"Very good",IF(W55&gt;=4,"Good",IF(W55&gt;=2,"Satisfactory",IF(W55&gt;=1,"Unsatisfactory")))))</f>
        <v>Excellent</v>
      </c>
    </row>
    <row r="56" customFormat="false" ht="19.5" hidden="false" customHeight="true" outlineLevel="0" collapsed="false">
      <c r="A56" s="16"/>
      <c r="B56" s="17" t="s">
        <v>77</v>
      </c>
      <c r="C56" s="18" t="s">
        <v>15</v>
      </c>
      <c r="D56" s="22" t="n">
        <v>9</v>
      </c>
      <c r="E56" s="22" t="n">
        <v>9</v>
      </c>
      <c r="F56" s="22" t="n">
        <v>9</v>
      </c>
      <c r="G56" s="22" t="n">
        <v>9</v>
      </c>
      <c r="H56" s="22" t="n">
        <v>9</v>
      </c>
      <c r="I56" s="22" t="n">
        <v>10</v>
      </c>
      <c r="J56" s="22" t="n">
        <v>10</v>
      </c>
      <c r="K56" s="22" t="n">
        <v>10</v>
      </c>
      <c r="L56" s="22" t="n">
        <v>9</v>
      </c>
      <c r="M56" s="22" t="n">
        <v>10</v>
      </c>
      <c r="N56" s="22" t="n">
        <v>9</v>
      </c>
      <c r="O56" s="22" t="n">
        <v>8</v>
      </c>
      <c r="P56" s="22" t="n">
        <v>8</v>
      </c>
      <c r="Q56" s="22" t="n">
        <v>7</v>
      </c>
      <c r="R56" s="22" t="n">
        <v>10</v>
      </c>
      <c r="S56" s="22" t="n">
        <v>8</v>
      </c>
      <c r="T56" s="22" t="n">
        <v>9</v>
      </c>
      <c r="U56" s="22" t="n">
        <v>10</v>
      </c>
      <c r="V56" s="22" t="n">
        <v>9</v>
      </c>
      <c r="W56" s="20" t="n">
        <f aca="false">AVERAGE(D56:V56)</f>
        <v>9.05263157894737</v>
      </c>
      <c r="X56" s="21" t="str">
        <f aca="false">IF(W56&gt;=8,"Excellent",IF(W56&gt;=6,"Very good",IF(W56&gt;=4,"Good",IF(W56&gt;=2,"Satisfactory",IF(W56&gt;=1,"Unsatisfactory")))))</f>
        <v>Excellent</v>
      </c>
    </row>
    <row r="57" customFormat="false" ht="19.5" hidden="false" customHeight="true" outlineLevel="0" collapsed="false">
      <c r="A57" s="16"/>
      <c r="B57" s="16"/>
      <c r="C57" s="18" t="s">
        <v>16</v>
      </c>
      <c r="D57" s="22" t="n">
        <v>9</v>
      </c>
      <c r="E57" s="22" t="n">
        <v>9</v>
      </c>
      <c r="F57" s="22" t="n">
        <v>9</v>
      </c>
      <c r="G57" s="22" t="n">
        <v>9</v>
      </c>
      <c r="H57" s="22" t="n">
        <v>9</v>
      </c>
      <c r="I57" s="22" t="n">
        <v>10</v>
      </c>
      <c r="J57" s="22" t="n">
        <v>10</v>
      </c>
      <c r="K57" s="22" t="n">
        <v>10</v>
      </c>
      <c r="L57" s="22" t="n">
        <v>9</v>
      </c>
      <c r="M57" s="22" t="n">
        <v>10</v>
      </c>
      <c r="N57" s="22" t="n">
        <v>9</v>
      </c>
      <c r="O57" s="22" t="n">
        <v>9</v>
      </c>
      <c r="P57" s="22" t="n">
        <v>8</v>
      </c>
      <c r="Q57" s="22" t="n">
        <v>7</v>
      </c>
      <c r="R57" s="22" t="n">
        <v>10</v>
      </c>
      <c r="S57" s="22" t="n">
        <v>8</v>
      </c>
      <c r="T57" s="22" t="n">
        <v>9</v>
      </c>
      <c r="U57" s="22" t="n">
        <v>10</v>
      </c>
      <c r="V57" s="22" t="n">
        <v>9</v>
      </c>
      <c r="W57" s="20" t="n">
        <f aca="false">AVERAGE(D57:V57)</f>
        <v>9.10526315789474</v>
      </c>
      <c r="X57" s="21" t="str">
        <f aca="false">IF(W57&gt;=8,"Excellent",IF(W57&gt;=6,"Very good",IF(W57&gt;=4,"Good",IF(W57&gt;=2,"Satisfactory",IF(W57&gt;=1,"Unsatisfactory")))))</f>
        <v>Excellent</v>
      </c>
    </row>
    <row r="58" customFormat="false" ht="19.5" hidden="false" customHeight="true" outlineLevel="0" collapsed="false">
      <c r="A58" s="16"/>
      <c r="B58" s="16"/>
      <c r="C58" s="18" t="s">
        <v>17</v>
      </c>
      <c r="D58" s="22" t="n">
        <v>9</v>
      </c>
      <c r="E58" s="15" t="n">
        <v>9</v>
      </c>
      <c r="F58" s="15" t="n">
        <v>9</v>
      </c>
      <c r="G58" s="22" t="n">
        <v>9</v>
      </c>
      <c r="H58" s="15" t="n">
        <v>9</v>
      </c>
      <c r="I58" s="22" t="n">
        <v>10</v>
      </c>
      <c r="J58" s="22" t="n">
        <v>10</v>
      </c>
      <c r="K58" s="15" t="n">
        <v>10</v>
      </c>
      <c r="L58" s="22" t="n">
        <v>8</v>
      </c>
      <c r="M58" s="22" t="n">
        <v>10</v>
      </c>
      <c r="N58" s="22" t="n">
        <v>9</v>
      </c>
      <c r="O58" s="22" t="n">
        <v>8</v>
      </c>
      <c r="P58" s="22" t="n">
        <v>8</v>
      </c>
      <c r="Q58" s="22" t="n">
        <v>7</v>
      </c>
      <c r="R58" s="22" t="n">
        <v>10</v>
      </c>
      <c r="S58" s="22" t="n">
        <v>8</v>
      </c>
      <c r="T58" s="22" t="n">
        <v>8</v>
      </c>
      <c r="U58" s="22" t="n">
        <v>10</v>
      </c>
      <c r="V58" s="22" t="n">
        <v>9</v>
      </c>
      <c r="W58" s="20" t="n">
        <f aca="false">AVERAGE(D58:V58)</f>
        <v>8.94736842105263</v>
      </c>
      <c r="X58" s="21" t="str">
        <f aca="false">IF(W58&gt;=8,"Excellent",IF(W58&gt;=6,"Very good",IF(W58&gt;=4,"Good",IF(W58&gt;=2,"Satisfactory",IF(W58&gt;=1,"Unsatisfactory")))))</f>
        <v>Excellent</v>
      </c>
    </row>
    <row r="59" customFormat="false" ht="19.5" hidden="false" customHeight="true" outlineLevel="0" collapsed="false">
      <c r="A59" s="16"/>
      <c r="B59" s="16"/>
      <c r="C59" s="15" t="s">
        <v>18</v>
      </c>
      <c r="D59" s="22" t="n">
        <v>9</v>
      </c>
      <c r="E59" s="15" t="n">
        <v>9</v>
      </c>
      <c r="F59" s="15" t="n">
        <v>9</v>
      </c>
      <c r="G59" s="22" t="n">
        <v>9</v>
      </c>
      <c r="H59" s="15" t="n">
        <v>9</v>
      </c>
      <c r="I59" s="22" t="n">
        <v>10</v>
      </c>
      <c r="J59" s="22" t="n">
        <v>10</v>
      </c>
      <c r="K59" s="15" t="n">
        <v>10</v>
      </c>
      <c r="L59" s="22" t="n">
        <v>9</v>
      </c>
      <c r="M59" s="22" t="n">
        <v>10</v>
      </c>
      <c r="N59" s="22" t="n">
        <v>9</v>
      </c>
      <c r="O59" s="22" t="n">
        <v>10</v>
      </c>
      <c r="P59" s="22" t="n">
        <v>8</v>
      </c>
      <c r="Q59" s="22" t="n">
        <v>7</v>
      </c>
      <c r="R59" s="22" t="n">
        <v>10</v>
      </c>
      <c r="S59" s="22" t="n">
        <v>8</v>
      </c>
      <c r="T59" s="22" t="n">
        <v>9</v>
      </c>
      <c r="U59" s="22" t="n">
        <v>10</v>
      </c>
      <c r="V59" s="22" t="n">
        <v>9</v>
      </c>
      <c r="W59" s="20" t="n">
        <f aca="false">AVERAGE(D59:V59)</f>
        <v>9.1578947368421</v>
      </c>
      <c r="X59" s="21" t="str">
        <f aca="false">IF(W59&gt;=8,"Excellent",IF(W59&gt;=6,"Very good",IF(W59&gt;=4,"Good",IF(W59&gt;=2,"Satisfactory",IF(W59&gt;=1,"Unsatisfactory")))))</f>
        <v>Excellent</v>
      </c>
    </row>
    <row r="60" customFormat="false" ht="19.5" hidden="false" customHeight="true" outlineLevel="0" collapsed="false">
      <c r="A60" s="16"/>
      <c r="B60" s="16"/>
      <c r="C60" s="15" t="s">
        <v>19</v>
      </c>
      <c r="D60" s="22" t="n">
        <v>9</v>
      </c>
      <c r="E60" s="22" t="n">
        <v>10</v>
      </c>
      <c r="F60" s="22" t="n">
        <v>10</v>
      </c>
      <c r="G60" s="22" t="n">
        <v>9</v>
      </c>
      <c r="H60" s="22" t="n">
        <v>9</v>
      </c>
      <c r="I60" s="22" t="n">
        <v>10</v>
      </c>
      <c r="J60" s="22" t="n">
        <v>10</v>
      </c>
      <c r="K60" s="22" t="n">
        <v>10</v>
      </c>
      <c r="L60" s="22" t="n">
        <v>9</v>
      </c>
      <c r="M60" s="22" t="n">
        <v>10</v>
      </c>
      <c r="N60" s="22" t="n">
        <v>9</v>
      </c>
      <c r="O60" s="22" t="n">
        <v>10</v>
      </c>
      <c r="P60" s="22" t="n">
        <v>8</v>
      </c>
      <c r="Q60" s="22" t="n">
        <v>7</v>
      </c>
      <c r="R60" s="22" t="n">
        <v>10</v>
      </c>
      <c r="S60" s="22" t="n">
        <v>8</v>
      </c>
      <c r="T60" s="22" t="n">
        <v>9</v>
      </c>
      <c r="U60" s="22" t="n">
        <v>10</v>
      </c>
      <c r="V60" s="22" t="n">
        <v>9</v>
      </c>
      <c r="W60" s="20" t="n">
        <f aca="false">AVERAGE(D60:V60)</f>
        <v>9.26315789473684</v>
      </c>
      <c r="X60" s="21" t="str">
        <f aca="false">IF(W60&gt;=8,"Excellent",IF(W60&gt;=6,"Very good",IF(W60&gt;=4,"Good",IF(W60&gt;=2,"Satisfactory",IF(W60&gt;=1,"Unsatisfactory")))))</f>
        <v>Excellent</v>
      </c>
    </row>
    <row r="61" customFormat="false" ht="15.75" hidden="false" customHeight="true" outlineLevel="0" collapsed="false">
      <c r="A61" s="17" t="s">
        <v>78</v>
      </c>
      <c r="B61" s="17"/>
      <c r="C61" s="18" t="s">
        <v>41</v>
      </c>
      <c r="D61" s="22" t="n">
        <v>8</v>
      </c>
      <c r="E61" s="15" t="n">
        <v>9</v>
      </c>
      <c r="F61" s="15" t="n">
        <v>8</v>
      </c>
      <c r="G61" s="15" t="n">
        <v>8</v>
      </c>
      <c r="H61" s="15" t="n">
        <v>9</v>
      </c>
      <c r="I61" s="15" t="n">
        <v>10</v>
      </c>
      <c r="J61" s="15" t="n">
        <v>10</v>
      </c>
      <c r="K61" s="15" t="n">
        <v>10</v>
      </c>
      <c r="L61" s="15" t="n">
        <v>9</v>
      </c>
      <c r="M61" s="15" t="n">
        <v>9</v>
      </c>
      <c r="N61" s="15" t="n">
        <v>8</v>
      </c>
      <c r="O61" s="15" t="n">
        <v>10</v>
      </c>
      <c r="P61" s="15" t="n">
        <v>9</v>
      </c>
      <c r="Q61" s="15" t="n">
        <v>10</v>
      </c>
      <c r="R61" s="15" t="n">
        <v>9</v>
      </c>
      <c r="S61" s="15" t="n">
        <v>8</v>
      </c>
      <c r="T61" s="15" t="n">
        <v>9</v>
      </c>
      <c r="U61" s="15" t="n">
        <v>9</v>
      </c>
      <c r="V61" s="15" t="n">
        <v>9</v>
      </c>
      <c r="W61" s="20" t="n">
        <f aca="false">AVERAGE(D61:V61)</f>
        <v>9</v>
      </c>
      <c r="X61" s="21" t="str">
        <f aca="false">IF(W61&gt;=8,"Excellent",IF(W61&gt;=6,"Very good",IF(W61&gt;=4,"Good",IF(W61&gt;=2,"Satisfactory",IF(W61&gt;=1,"Unsatisfactory")))))</f>
        <v>Excellent</v>
      </c>
    </row>
    <row r="62" customFormat="false" ht="15.75" hidden="false" customHeight="true" outlineLevel="0" collapsed="false">
      <c r="A62" s="17"/>
      <c r="B62" s="17"/>
      <c r="C62" s="18" t="s">
        <v>42</v>
      </c>
      <c r="D62" s="22" t="n">
        <v>9</v>
      </c>
      <c r="E62" s="22" t="n">
        <v>10</v>
      </c>
      <c r="F62" s="22" t="n">
        <v>8</v>
      </c>
      <c r="G62" s="22" t="n">
        <v>8</v>
      </c>
      <c r="H62" s="22" t="n">
        <v>9</v>
      </c>
      <c r="I62" s="22" t="n">
        <v>10</v>
      </c>
      <c r="J62" s="22" t="n">
        <v>10</v>
      </c>
      <c r="K62" s="22" t="n">
        <v>10</v>
      </c>
      <c r="L62" s="22" t="n">
        <v>9</v>
      </c>
      <c r="M62" s="22" t="n">
        <v>10</v>
      </c>
      <c r="N62" s="22" t="n">
        <v>8</v>
      </c>
      <c r="O62" s="22" t="n">
        <v>10</v>
      </c>
      <c r="P62" s="22" t="n">
        <v>9</v>
      </c>
      <c r="Q62" s="22" t="n">
        <v>10</v>
      </c>
      <c r="R62" s="22" t="n">
        <v>9</v>
      </c>
      <c r="S62" s="22" t="n">
        <v>8</v>
      </c>
      <c r="T62" s="22" t="n">
        <v>10</v>
      </c>
      <c r="U62" s="22" t="n">
        <v>9</v>
      </c>
      <c r="V62" s="22" t="n">
        <v>10</v>
      </c>
      <c r="W62" s="20" t="n">
        <f aca="false">AVERAGE(D62:V62)</f>
        <v>9.26315789473684</v>
      </c>
      <c r="X62" s="21" t="str">
        <f aca="false">IF(W62&gt;=8,"Excellent",IF(W62&gt;=6,"Very good",IF(W62&gt;=4,"Good",IF(W62&gt;=2,"Satisfactory",IF(W62&gt;=1,"Unsatisfactory")))))</f>
        <v>Excellent</v>
      </c>
    </row>
    <row r="63" customFormat="false" ht="15.75" hidden="false" customHeight="true" outlineLevel="0" collapsed="false">
      <c r="A63" s="17"/>
      <c r="B63" s="17"/>
      <c r="C63" s="15" t="s">
        <v>43</v>
      </c>
      <c r="D63" s="22" t="n">
        <v>9</v>
      </c>
      <c r="E63" s="22" t="n">
        <v>10</v>
      </c>
      <c r="F63" s="22" t="n">
        <v>10</v>
      </c>
      <c r="G63" s="22" t="n">
        <v>9</v>
      </c>
      <c r="H63" s="22" t="n">
        <v>9</v>
      </c>
      <c r="I63" s="22" t="n">
        <v>10</v>
      </c>
      <c r="J63" s="22" t="n">
        <v>10</v>
      </c>
      <c r="K63" s="22" t="n">
        <v>10</v>
      </c>
      <c r="L63" s="22" t="n">
        <v>9</v>
      </c>
      <c r="M63" s="22" t="n">
        <v>10</v>
      </c>
      <c r="N63" s="22" t="n">
        <v>9</v>
      </c>
      <c r="O63" s="22" t="n">
        <v>10</v>
      </c>
      <c r="P63" s="22" t="n">
        <v>10</v>
      </c>
      <c r="Q63" s="22" t="n">
        <v>10</v>
      </c>
      <c r="R63" s="22" t="n">
        <v>9</v>
      </c>
      <c r="S63" s="22" t="n">
        <v>8</v>
      </c>
      <c r="T63" s="22" t="n">
        <v>10</v>
      </c>
      <c r="U63" s="22" t="n">
        <v>10</v>
      </c>
      <c r="V63" s="22" t="n">
        <v>10</v>
      </c>
      <c r="W63" s="20" t="n">
        <f aca="false">AVERAGE(D63:V63)</f>
        <v>9.57894736842105</v>
      </c>
      <c r="X63" s="21" t="str">
        <f aca="false">IF(W63&gt;=8,"Excellent",IF(W63&gt;=6,"Very good",IF(W63&gt;=4,"Good",IF(W63&gt;=2,"Satisfactory",IF(W63&gt;=1,"Unsatisfactory")))))</f>
        <v>Excellent</v>
      </c>
    </row>
    <row r="64" customFormat="false" ht="15.75" hidden="false" customHeight="true" outlineLevel="0" collapsed="false">
      <c r="A64" s="17"/>
      <c r="B64" s="17"/>
      <c r="C64" s="15" t="s">
        <v>44</v>
      </c>
      <c r="D64" s="22" t="n">
        <v>10</v>
      </c>
      <c r="E64" s="22" t="n">
        <v>9</v>
      </c>
      <c r="F64" s="22" t="n">
        <v>9</v>
      </c>
      <c r="G64" s="22" t="n">
        <v>9</v>
      </c>
      <c r="H64" s="22" t="n">
        <v>9</v>
      </c>
      <c r="I64" s="22" t="n">
        <v>10</v>
      </c>
      <c r="J64" s="22" t="n">
        <v>9</v>
      </c>
      <c r="K64" s="22" t="n">
        <v>10</v>
      </c>
      <c r="L64" s="22" t="n">
        <v>9</v>
      </c>
      <c r="M64" s="22" t="n">
        <v>10</v>
      </c>
      <c r="N64" s="22" t="n">
        <v>9</v>
      </c>
      <c r="O64" s="22" t="n">
        <v>10</v>
      </c>
      <c r="P64" s="22" t="n">
        <v>9</v>
      </c>
      <c r="Q64" s="22" t="n">
        <v>10</v>
      </c>
      <c r="R64" s="22" t="n">
        <v>9</v>
      </c>
      <c r="S64" s="22" t="n">
        <v>8</v>
      </c>
      <c r="T64" s="22" t="n">
        <v>9</v>
      </c>
      <c r="U64" s="22" t="n">
        <v>9</v>
      </c>
      <c r="V64" s="22" t="n">
        <v>9</v>
      </c>
      <c r="W64" s="20" t="n">
        <f aca="false">AVERAGE(D64:V64)</f>
        <v>9.26315789473684</v>
      </c>
      <c r="X64" s="21" t="str">
        <f aca="false">IF(W64&gt;=8,"Excellent",IF(W64&gt;=6,"Very good",IF(W64&gt;=4,"Good",IF(W64&gt;=2,"Satisfactory",IF(W64&gt;=1,"Unsatisfactory")))))</f>
        <v>Excellent</v>
      </c>
    </row>
    <row r="65" customFormat="false" ht="59.25" hidden="false" customHeight="true" outlineLevel="0" collapsed="false">
      <c r="A65" s="23"/>
      <c r="B65" s="17" t="s">
        <v>31</v>
      </c>
      <c r="C65" s="17"/>
      <c r="D65" s="19"/>
      <c r="E65" s="25"/>
      <c r="F65" s="26"/>
      <c r="G65" s="25"/>
      <c r="H65" s="25"/>
      <c r="I65" s="25"/>
      <c r="J65" s="25"/>
      <c r="K65" s="27"/>
      <c r="L65" s="27"/>
      <c r="M65" s="28"/>
      <c r="N65" s="25"/>
      <c r="O65" s="27"/>
      <c r="P65" s="27"/>
      <c r="Q65" s="27"/>
      <c r="R65" s="25"/>
      <c r="S65" s="25"/>
      <c r="T65" s="25"/>
      <c r="U65" s="25"/>
      <c r="V65" s="28"/>
      <c r="W65" s="29"/>
      <c r="X65" s="30"/>
    </row>
    <row r="66" customFormat="false" ht="55.5" hidden="false" customHeight="true" outlineLevel="0" collapsed="false">
      <c r="A66" s="23"/>
      <c r="B66" s="17" t="s">
        <v>32</v>
      </c>
      <c r="C66" s="17"/>
      <c r="D66" s="19"/>
      <c r="E66" s="25"/>
      <c r="F66" s="25"/>
      <c r="G66" s="25"/>
      <c r="H66" s="25"/>
      <c r="I66" s="27"/>
      <c r="J66" s="25"/>
      <c r="K66" s="25"/>
      <c r="L66" s="25"/>
      <c r="M66" s="25"/>
      <c r="N66" s="25"/>
      <c r="O66" s="25"/>
      <c r="P66" s="25"/>
      <c r="Q66" s="25"/>
      <c r="R66" s="25"/>
      <c r="S66" s="27"/>
      <c r="T66" s="27"/>
      <c r="U66" s="25"/>
      <c r="V66" s="27"/>
      <c r="W66" s="29"/>
      <c r="X66" s="30"/>
    </row>
    <row r="67" customFormat="false" ht="15.75" hidden="false" customHeight="true" outlineLevel="0" collapsed="false">
      <c r="D67" s="31"/>
      <c r="E67" s="31"/>
      <c r="G67" s="1" t="s">
        <v>33</v>
      </c>
      <c r="K67" s="31"/>
    </row>
    <row r="68" customFormat="false" ht="15.75" hidden="false" customHeight="true" outlineLevel="0" collapsed="false">
      <c r="J68" s="32"/>
      <c r="K68" s="33"/>
    </row>
    <row r="69" customFormat="false" ht="15.75" hidden="false" customHeight="true" outlineLevel="0" collapsed="false">
      <c r="C69" s="34" t="s">
        <v>34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customFormat="false" ht="15.75" hidden="false" customHeight="true" outlineLevel="0" collapsed="false">
      <c r="C70" s="35" t="s">
        <v>35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customFormat="false" ht="15.75" hidden="false" customHeight="true" outlineLevel="0" collapsed="false">
      <c r="C71" s="36" t="s">
        <v>36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customFormat="false" ht="15.75" hidden="false" customHeight="true" outlineLevel="0" collapsed="false">
      <c r="C72" s="37" t="s">
        <v>37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customFormat="false" ht="15.75" hidden="false" customHeight="true" outlineLevel="0" collapsed="false">
      <c r="C73" s="38" t="s">
        <v>38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6.5" hidden="false" customHeight="true" outlineLevel="0" collapsed="false"/>
    <row r="83" customFormat="false" ht="15.75" hidden="false" customHeight="true" outlineLevel="0" collapsed="false"/>
    <row r="84" customFormat="false" ht="16.5" hidden="false" customHeight="true" outlineLevel="0" collapsed="false"/>
    <row r="85" customFormat="false" ht="15.75" hidden="false" customHeight="true" outlineLevel="0" collapsed="false"/>
    <row r="86" customFormat="false" ht="12.75" hidden="false" customHeight="true" outlineLevel="0" collapsed="false"/>
    <row r="87" customFormat="false" ht="13.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</sheetData>
  <mergeCells count="33">
    <mergeCell ref="A1:X1"/>
    <mergeCell ref="C2:X2"/>
    <mergeCell ref="D3:X3"/>
    <mergeCell ref="A5:A6"/>
    <mergeCell ref="B5:B6"/>
    <mergeCell ref="C5:C6"/>
    <mergeCell ref="D5:V5"/>
    <mergeCell ref="W5:W6"/>
    <mergeCell ref="X5:X6"/>
    <mergeCell ref="A7:A16"/>
    <mergeCell ref="B7:B11"/>
    <mergeCell ref="B12:B16"/>
    <mergeCell ref="A17:A26"/>
    <mergeCell ref="B17:B21"/>
    <mergeCell ref="B22:B26"/>
    <mergeCell ref="A27:A40"/>
    <mergeCell ref="B27:B31"/>
    <mergeCell ref="B32:B35"/>
    <mergeCell ref="B36:B40"/>
    <mergeCell ref="A41:A50"/>
    <mergeCell ref="B41:B45"/>
    <mergeCell ref="B46:B50"/>
    <mergeCell ref="A51:A60"/>
    <mergeCell ref="B51:B55"/>
    <mergeCell ref="B56:B60"/>
    <mergeCell ref="A61:B64"/>
    <mergeCell ref="B65:C65"/>
    <mergeCell ref="B66:C66"/>
    <mergeCell ref="C69:V69"/>
    <mergeCell ref="C70:V70"/>
    <mergeCell ref="C71:V71"/>
    <mergeCell ref="C72:V72"/>
    <mergeCell ref="C73:V73"/>
  </mergeCells>
  <conditionalFormatting sqref="D7:V7 D8:D66 E8:V6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7:X64">
    <cfRule type="cellIs" priority="3" operator="equal" aboveAverage="0" equalAverage="0" bottom="0" percent="0" rank="0" text="" dxfId="0">
      <formula>"Unsatisfactory"</formula>
    </cfRule>
    <cfRule type="cellIs" priority="4" operator="equal" aboveAverage="0" equalAverage="0" bottom="0" percent="0" rank="0" text="" dxfId="1">
      <formula>"Satisfactory"</formula>
    </cfRule>
    <cfRule type="cellIs" priority="5" operator="equal" aboveAverage="0" equalAverage="0" bottom="0" percent="0" rank="0" text="" dxfId="2">
      <formula>"Good"</formula>
    </cfRule>
    <cfRule type="cellIs" priority="6" operator="equal" aboveAverage="0" equalAverage="0" bottom="0" percent="0" rank="0" text="" dxfId="3">
      <formula>"Very good"</formula>
    </cfRule>
    <cfRule type="cellIs" priority="7" operator="equal" aboveAverage="0" equalAverage="0" bottom="0" percent="0" rank="0" text="" dxfId="4">
      <formula>"Excellent"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2890625" defaultRowHeight="15" zeroHeight="false" outlineLevelRow="0" outlineLevelCol="0"/>
  <cols>
    <col collapsed="false" customWidth="true" hidden="false" outlineLevel="0" max="2" min="2" style="1" width="40.62"/>
    <col collapsed="false" customWidth="true" hidden="false" outlineLevel="0" max="8" min="8" style="1" width="11.12"/>
  </cols>
  <sheetData>
    <row r="4" customFormat="false" ht="23.25" hidden="false" customHeight="true" outlineLevel="0" collapsed="false">
      <c r="B4" s="39" t="s">
        <v>39</v>
      </c>
      <c r="C4" s="40" t="n">
        <f aca="false">'Mod-2 Participant''s Feedback'!D6</f>
        <v>214387</v>
      </c>
      <c r="D4" s="40" t="n">
        <f aca="false">'Mod-2 Participant''s Feedback'!E6</f>
        <v>218036</v>
      </c>
      <c r="E4" s="40" t="n">
        <f aca="false">'Mod-2 Participant''s Feedback'!F6</f>
        <v>216452</v>
      </c>
      <c r="F4" s="40" t="n">
        <f aca="false">'Mod-2 Participant''s Feedback'!G6</f>
        <v>217770</v>
      </c>
      <c r="G4" s="40" t="n">
        <f aca="false">'Mod-2 Participant''s Feedback'!H6</f>
        <v>216676</v>
      </c>
      <c r="H4" s="40" t="n">
        <f aca="false">'Mod-2 Participant''s Feedback'!I6</f>
        <v>218033</v>
      </c>
      <c r="I4" s="40" t="n">
        <f aca="false">'Mod-2 Participant''s Feedback'!J6</f>
        <v>217755</v>
      </c>
      <c r="J4" s="40" t="n">
        <f aca="false">'Mod-2 Participant''s Feedback'!K6</f>
        <v>212842</v>
      </c>
      <c r="K4" s="40" t="n">
        <f aca="false">'Mod-2 Participant''s Feedback'!L6</f>
        <v>214004</v>
      </c>
      <c r="L4" s="40" t="n">
        <f aca="false">'Mod-2 Participant''s Feedback'!M6</f>
        <v>216322</v>
      </c>
      <c r="M4" s="40" t="n">
        <f aca="false">'Mod-2 Participant''s Feedback'!N6</f>
        <v>218114</v>
      </c>
      <c r="N4" s="40" t="str">
        <f aca="false">'Mod-2 Participant''s Feedback'!O6</f>
        <v>502104N</v>
      </c>
      <c r="O4" s="40" t="n">
        <f aca="false">'Mod-2 Participant''s Feedback'!P6</f>
        <v>217689</v>
      </c>
      <c r="P4" s="40" t="str">
        <f aca="false">'Mod-2 Participant''s Feedback'!Q6</f>
        <v>502099-K</v>
      </c>
      <c r="Q4" s="40" t="n">
        <f aca="false">'Mod-2 Participant''s Feedback'!R6</f>
        <v>216448</v>
      </c>
      <c r="R4" s="40" t="n">
        <f aca="false">'Mod-2 Participant''s Feedback'!S6</f>
        <v>216168</v>
      </c>
      <c r="S4" s="40" t="n">
        <f aca="false">'Mod-2 Participant''s Feedback'!T6</f>
        <v>218399</v>
      </c>
      <c r="T4" s="40" t="n">
        <f aca="false">'Mod-2 Participant''s Feedback'!U6</f>
        <v>216442</v>
      </c>
      <c r="U4" s="40" t="n">
        <f aca="false">'Mod-2 Participant''s Feedback'!V6</f>
        <v>216449</v>
      </c>
      <c r="V4" s="40" t="s">
        <v>79</v>
      </c>
    </row>
    <row r="5" customFormat="false" ht="23.25" hidden="false" customHeight="true" outlineLevel="0" collapsed="false">
      <c r="B5" s="39" t="s">
        <v>41</v>
      </c>
      <c r="C5" s="41" t="n">
        <f aca="false">'Mod-2 Participant''s Feedback'!D61</f>
        <v>8</v>
      </c>
      <c r="D5" s="41" t="n">
        <f aca="false">'Mod-2 Participant''s Feedback'!E61</f>
        <v>9</v>
      </c>
      <c r="E5" s="41" t="n">
        <f aca="false">'Mod-2 Participant''s Feedback'!F61</f>
        <v>8</v>
      </c>
      <c r="F5" s="41" t="n">
        <f aca="false">'Mod-2 Participant''s Feedback'!G61</f>
        <v>8</v>
      </c>
      <c r="G5" s="41" t="n">
        <f aca="false">'Mod-2 Participant''s Feedback'!H61</f>
        <v>9</v>
      </c>
      <c r="H5" s="41" t="n">
        <f aca="false">'Mod-2 Participant''s Feedback'!I61</f>
        <v>10</v>
      </c>
      <c r="I5" s="41" t="n">
        <f aca="false">'Mod-2 Participant''s Feedback'!J61</f>
        <v>10</v>
      </c>
      <c r="J5" s="41" t="n">
        <f aca="false">'Mod-2 Participant''s Feedback'!K61</f>
        <v>10</v>
      </c>
      <c r="K5" s="41" t="n">
        <f aca="false">'Mod-2 Participant''s Feedback'!L61</f>
        <v>9</v>
      </c>
      <c r="L5" s="41" t="n">
        <f aca="false">'Mod-2 Participant''s Feedback'!M61</f>
        <v>9</v>
      </c>
      <c r="M5" s="41" t="n">
        <f aca="false">'Mod-2 Participant''s Feedback'!N61</f>
        <v>8</v>
      </c>
      <c r="N5" s="41" t="n">
        <f aca="false">'Mod-2 Participant''s Feedback'!O61</f>
        <v>10</v>
      </c>
      <c r="O5" s="41" t="n">
        <f aca="false">'Mod-2 Participant''s Feedback'!P61</f>
        <v>9</v>
      </c>
      <c r="P5" s="41" t="n">
        <f aca="false">'Mod-2 Participant''s Feedback'!Q61</f>
        <v>10</v>
      </c>
      <c r="Q5" s="41" t="n">
        <f aca="false">'Mod-2 Participant''s Feedback'!R61</f>
        <v>9</v>
      </c>
      <c r="R5" s="41" t="n">
        <f aca="false">'Mod-2 Participant''s Feedback'!S61</f>
        <v>8</v>
      </c>
      <c r="S5" s="41" t="n">
        <f aca="false">'Mod-2 Participant''s Feedback'!T61</f>
        <v>9</v>
      </c>
      <c r="T5" s="41" t="n">
        <f aca="false">'Mod-2 Participant''s Feedback'!U61</f>
        <v>9</v>
      </c>
      <c r="U5" s="41" t="n">
        <f aca="false">'Mod-2 Participant''s Feedback'!V61</f>
        <v>9</v>
      </c>
      <c r="V5" s="42" t="n">
        <f aca="false">AVERAGE(C5:U5)</f>
        <v>9</v>
      </c>
    </row>
    <row r="6" customFormat="false" ht="23.25" hidden="false" customHeight="true" outlineLevel="0" collapsed="false">
      <c r="B6" s="39" t="s">
        <v>42</v>
      </c>
      <c r="C6" s="41" t="n">
        <f aca="false">'Mod-2 Participant''s Feedback'!D62</f>
        <v>9</v>
      </c>
      <c r="D6" s="41" t="n">
        <f aca="false">'Mod-2 Participant''s Feedback'!E62</f>
        <v>10</v>
      </c>
      <c r="E6" s="41" t="n">
        <f aca="false">'Mod-2 Participant''s Feedback'!F62</f>
        <v>8</v>
      </c>
      <c r="F6" s="41" t="n">
        <f aca="false">'Mod-2 Participant''s Feedback'!G62</f>
        <v>8</v>
      </c>
      <c r="G6" s="41" t="n">
        <f aca="false">'Mod-2 Participant''s Feedback'!H62</f>
        <v>9</v>
      </c>
      <c r="H6" s="41" t="n">
        <f aca="false">'Mod-2 Participant''s Feedback'!I62</f>
        <v>10</v>
      </c>
      <c r="I6" s="41" t="n">
        <f aca="false">'Mod-2 Participant''s Feedback'!J62</f>
        <v>10</v>
      </c>
      <c r="J6" s="41" t="n">
        <f aca="false">'Mod-2 Participant''s Feedback'!K62</f>
        <v>10</v>
      </c>
      <c r="K6" s="41" t="n">
        <f aca="false">'Mod-2 Participant''s Feedback'!L62</f>
        <v>9</v>
      </c>
      <c r="L6" s="41" t="n">
        <f aca="false">'Mod-2 Participant''s Feedback'!M62</f>
        <v>10</v>
      </c>
      <c r="M6" s="41" t="n">
        <f aca="false">'Mod-2 Participant''s Feedback'!N62</f>
        <v>8</v>
      </c>
      <c r="N6" s="41" t="n">
        <f aca="false">'Mod-2 Participant''s Feedback'!O62</f>
        <v>10</v>
      </c>
      <c r="O6" s="41" t="n">
        <f aca="false">'Mod-2 Participant''s Feedback'!P62</f>
        <v>9</v>
      </c>
      <c r="P6" s="41" t="n">
        <f aca="false">'Mod-2 Participant''s Feedback'!Q62</f>
        <v>10</v>
      </c>
      <c r="Q6" s="41" t="n">
        <f aca="false">'Mod-2 Participant''s Feedback'!R62</f>
        <v>9</v>
      </c>
      <c r="R6" s="41" t="n">
        <f aca="false">'Mod-2 Participant''s Feedback'!S62</f>
        <v>8</v>
      </c>
      <c r="S6" s="41" t="n">
        <f aca="false">'Mod-2 Participant''s Feedback'!T62</f>
        <v>10</v>
      </c>
      <c r="T6" s="41" t="n">
        <f aca="false">'Mod-2 Participant''s Feedback'!U62</f>
        <v>9</v>
      </c>
      <c r="U6" s="41" t="n">
        <f aca="false">'Mod-2 Participant''s Feedback'!V62</f>
        <v>10</v>
      </c>
      <c r="V6" s="42" t="n">
        <f aca="false">AVERAGE(C6:U6)</f>
        <v>9.26315789473684</v>
      </c>
    </row>
    <row r="7" customFormat="false" ht="23.25" hidden="false" customHeight="true" outlineLevel="0" collapsed="false">
      <c r="B7" s="39" t="s">
        <v>43</v>
      </c>
      <c r="C7" s="41" t="n">
        <f aca="false">'Mod-2 Participant''s Feedback'!D63</f>
        <v>9</v>
      </c>
      <c r="D7" s="41" t="n">
        <f aca="false">'Mod-2 Participant''s Feedback'!E63</f>
        <v>10</v>
      </c>
      <c r="E7" s="41" t="n">
        <f aca="false">'Mod-2 Participant''s Feedback'!F63</f>
        <v>10</v>
      </c>
      <c r="F7" s="41" t="n">
        <f aca="false">'Mod-2 Participant''s Feedback'!G63</f>
        <v>9</v>
      </c>
      <c r="G7" s="41" t="n">
        <f aca="false">'Mod-2 Participant''s Feedback'!H63</f>
        <v>9</v>
      </c>
      <c r="H7" s="41" t="n">
        <f aca="false">'Mod-2 Participant''s Feedback'!I63</f>
        <v>10</v>
      </c>
      <c r="I7" s="41" t="n">
        <f aca="false">'Mod-2 Participant''s Feedback'!J63</f>
        <v>10</v>
      </c>
      <c r="J7" s="41" t="n">
        <f aca="false">'Mod-2 Participant''s Feedback'!K63</f>
        <v>10</v>
      </c>
      <c r="K7" s="41" t="n">
        <f aca="false">'Mod-2 Participant''s Feedback'!L63</f>
        <v>9</v>
      </c>
      <c r="L7" s="41" t="n">
        <f aca="false">'Mod-2 Participant''s Feedback'!M63</f>
        <v>10</v>
      </c>
      <c r="M7" s="41" t="n">
        <f aca="false">'Mod-2 Participant''s Feedback'!N63</f>
        <v>9</v>
      </c>
      <c r="N7" s="41" t="n">
        <f aca="false">'Mod-2 Participant''s Feedback'!O63</f>
        <v>10</v>
      </c>
      <c r="O7" s="41" t="n">
        <f aca="false">'Mod-2 Participant''s Feedback'!P63</f>
        <v>10</v>
      </c>
      <c r="P7" s="41" t="n">
        <f aca="false">'Mod-2 Participant''s Feedback'!Q63</f>
        <v>10</v>
      </c>
      <c r="Q7" s="41" t="n">
        <f aca="false">'Mod-2 Participant''s Feedback'!R63</f>
        <v>9</v>
      </c>
      <c r="R7" s="41" t="n">
        <f aca="false">'Mod-2 Participant''s Feedback'!S63</f>
        <v>8</v>
      </c>
      <c r="S7" s="41" t="n">
        <f aca="false">'Mod-2 Participant''s Feedback'!T63</f>
        <v>10</v>
      </c>
      <c r="T7" s="41" t="n">
        <f aca="false">'Mod-2 Participant''s Feedback'!U63</f>
        <v>10</v>
      </c>
      <c r="U7" s="41" t="n">
        <f aca="false">'Mod-2 Participant''s Feedback'!V63</f>
        <v>10</v>
      </c>
      <c r="V7" s="42" t="n">
        <f aca="false">AVERAGE(C7:U7)</f>
        <v>9.57894736842105</v>
      </c>
    </row>
    <row r="8" customFormat="false" ht="23.25" hidden="false" customHeight="true" outlineLevel="0" collapsed="false">
      <c r="B8" s="39" t="s">
        <v>44</v>
      </c>
      <c r="C8" s="41" t="n">
        <f aca="false">'Mod-2 Participant''s Feedback'!D64</f>
        <v>10</v>
      </c>
      <c r="D8" s="41" t="n">
        <f aca="false">'Mod-2 Participant''s Feedback'!E64</f>
        <v>9</v>
      </c>
      <c r="E8" s="41" t="n">
        <f aca="false">'Mod-2 Participant''s Feedback'!F64</f>
        <v>9</v>
      </c>
      <c r="F8" s="41" t="n">
        <f aca="false">'Mod-2 Participant''s Feedback'!G64</f>
        <v>9</v>
      </c>
      <c r="G8" s="41" t="n">
        <f aca="false">'Mod-2 Participant''s Feedback'!H64</f>
        <v>9</v>
      </c>
      <c r="H8" s="41" t="n">
        <f aca="false">'Mod-2 Participant''s Feedback'!I64</f>
        <v>10</v>
      </c>
      <c r="I8" s="41" t="n">
        <f aca="false">'Mod-2 Participant''s Feedback'!J64</f>
        <v>9</v>
      </c>
      <c r="J8" s="41" t="n">
        <f aca="false">'Mod-2 Participant''s Feedback'!K64</f>
        <v>10</v>
      </c>
      <c r="K8" s="41" t="n">
        <f aca="false">'Mod-2 Participant''s Feedback'!L64</f>
        <v>9</v>
      </c>
      <c r="L8" s="41" t="n">
        <f aca="false">'Mod-2 Participant''s Feedback'!M64</f>
        <v>10</v>
      </c>
      <c r="M8" s="41" t="n">
        <f aca="false">'Mod-2 Participant''s Feedback'!N64</f>
        <v>9</v>
      </c>
      <c r="N8" s="41" t="n">
        <f aca="false">'Mod-2 Participant''s Feedback'!O64</f>
        <v>10</v>
      </c>
      <c r="O8" s="41" t="n">
        <f aca="false">'Mod-2 Participant''s Feedback'!P64</f>
        <v>9</v>
      </c>
      <c r="P8" s="41" t="n">
        <f aca="false">'Mod-2 Participant''s Feedback'!Q64</f>
        <v>10</v>
      </c>
      <c r="Q8" s="41" t="n">
        <f aca="false">'Mod-2 Participant''s Feedback'!R64</f>
        <v>9</v>
      </c>
      <c r="R8" s="41" t="n">
        <f aca="false">'Mod-2 Participant''s Feedback'!S64</f>
        <v>8</v>
      </c>
      <c r="S8" s="41" t="n">
        <f aca="false">'Mod-2 Participant''s Feedback'!T64</f>
        <v>9</v>
      </c>
      <c r="T8" s="41" t="n">
        <f aca="false">'Mod-2 Participant''s Feedback'!U64</f>
        <v>9</v>
      </c>
      <c r="U8" s="41" t="n">
        <f aca="false">'Mod-2 Participant''s Feedback'!V64</f>
        <v>9</v>
      </c>
      <c r="V8" s="42" t="n">
        <f aca="false">AVERAGE(C8:U8)</f>
        <v>9.26315789473684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12890625" defaultRowHeight="15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9.62"/>
    <col collapsed="false" customWidth="true" hidden="false" outlineLevel="0" max="3" min="3" style="43" width="65.62"/>
    <col collapsed="false" customWidth="true" hidden="false" outlineLevel="0" max="4" min="4" style="44" width="56.87"/>
  </cols>
  <sheetData>
    <row r="1" customFormat="false" ht="23.25" hidden="false" customHeight="true" outlineLevel="0" collapsed="false">
      <c r="A1" s="45" t="s">
        <v>80</v>
      </c>
      <c r="B1" s="45"/>
      <c r="C1" s="45"/>
      <c r="D1" s="45"/>
    </row>
    <row r="2" customFormat="false" ht="21" hidden="false" customHeight="true" outlineLevel="0" collapsed="false">
      <c r="A2" s="46" t="s">
        <v>46</v>
      </c>
      <c r="B2" s="46"/>
      <c r="C2" s="46"/>
      <c r="D2" s="46"/>
    </row>
    <row r="3" customFormat="false" ht="30" hidden="false" customHeight="true" outlineLevel="0" collapsed="false">
      <c r="A3" s="47" t="s">
        <v>47</v>
      </c>
      <c r="B3" s="47" t="s">
        <v>48</v>
      </c>
      <c r="C3" s="48" t="s">
        <v>49</v>
      </c>
      <c r="D3" s="47" t="s">
        <v>50</v>
      </c>
    </row>
    <row r="4" customFormat="false" ht="15.75" hidden="false" customHeight="true" outlineLevel="0" collapsed="false">
      <c r="A4" s="49" t="n">
        <v>1</v>
      </c>
      <c r="B4" s="72" t="n">
        <v>217770</v>
      </c>
      <c r="C4" s="41"/>
      <c r="D4" s="72" t="s">
        <v>81</v>
      </c>
    </row>
    <row r="5" customFormat="false" ht="15.75" hidden="false" customHeight="true" outlineLevel="0" collapsed="false">
      <c r="A5" s="49" t="n">
        <v>2</v>
      </c>
      <c r="B5" s="72" t="n">
        <v>216442</v>
      </c>
      <c r="C5" s="41"/>
      <c r="D5" s="72" t="s">
        <v>82</v>
      </c>
    </row>
    <row r="6" customFormat="false" ht="15.75" hidden="false" customHeight="true" outlineLevel="0" collapsed="false">
      <c r="A6" s="49" t="n">
        <v>3</v>
      </c>
      <c r="B6" s="72" t="n">
        <v>218036</v>
      </c>
      <c r="C6" s="41"/>
      <c r="D6" s="72" t="s">
        <v>83</v>
      </c>
    </row>
    <row r="7" customFormat="false" ht="15.75" hidden="false" customHeight="true" outlineLevel="0" collapsed="false">
      <c r="A7" s="49" t="n">
        <v>4</v>
      </c>
      <c r="B7" s="72" t="n">
        <v>216452</v>
      </c>
      <c r="C7" s="41"/>
      <c r="D7" s="72" t="s">
        <v>84</v>
      </c>
    </row>
    <row r="8" customFormat="false" ht="15.75" hidden="false" customHeight="true" outlineLevel="0" collapsed="false">
      <c r="A8" s="49" t="n">
        <v>5</v>
      </c>
      <c r="B8" s="72" t="n">
        <v>218399</v>
      </c>
      <c r="C8" s="41"/>
      <c r="D8" s="72" t="s">
        <v>85</v>
      </c>
    </row>
    <row r="9" customFormat="false" ht="15.75" hidden="false" customHeight="true" outlineLevel="0" collapsed="false">
      <c r="A9" s="49" t="n">
        <v>6</v>
      </c>
      <c r="B9" s="72" t="n">
        <v>216322</v>
      </c>
      <c r="C9" s="41"/>
      <c r="D9" s="72" t="s">
        <v>86</v>
      </c>
    </row>
    <row r="10" customFormat="false" ht="15.75" hidden="false" customHeight="true" outlineLevel="0" collapsed="false">
      <c r="A10" s="49" t="n">
        <v>7</v>
      </c>
      <c r="B10" s="72" t="n">
        <v>216448</v>
      </c>
      <c r="C10" s="41"/>
      <c r="D10" s="72" t="s">
        <v>87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2890625" defaultRowHeight="15" zeroHeight="false" outlineLevelRow="0" outlineLevelCol="0"/>
  <cols>
    <col collapsed="false" customWidth="true" hidden="false" outlineLevel="0" max="1" min="1" style="1" width="16.12"/>
    <col collapsed="false" customWidth="true" hidden="false" outlineLevel="0" max="6" min="2" style="1" width="10"/>
  </cols>
  <sheetData>
    <row r="4" customFormat="false" ht="15" hidden="false" customHeight="false" outlineLevel="0" collapsed="false">
      <c r="B4" s="73" t="s">
        <v>52</v>
      </c>
      <c r="C4" s="74" t="s">
        <v>53</v>
      </c>
      <c r="D4" s="74" t="s">
        <v>88</v>
      </c>
      <c r="E4" s="74" t="s">
        <v>54</v>
      </c>
      <c r="F4" s="74" t="s">
        <v>89</v>
      </c>
      <c r="G4" s="75" t="s">
        <v>56</v>
      </c>
    </row>
    <row r="5" customFormat="false" ht="15" hidden="false" customHeight="false" outlineLevel="0" collapsed="false">
      <c r="B5" s="55"/>
      <c r="C5" s="55"/>
      <c r="D5" s="55"/>
      <c r="E5" s="55"/>
      <c r="F5" s="55"/>
      <c r="G5" s="55"/>
    </row>
    <row r="6" customFormat="false" ht="15" hidden="false" customHeight="false" outlineLevel="0" collapsed="false">
      <c r="B6" s="55"/>
      <c r="C6" s="55"/>
      <c r="D6" s="55"/>
      <c r="E6" s="55"/>
      <c r="F6" s="55"/>
      <c r="G6" s="55"/>
    </row>
    <row r="7" customFormat="false" ht="15" hidden="false" customHeight="false" outlineLevel="0" collapsed="false">
      <c r="B7" s="55"/>
      <c r="C7" s="55"/>
      <c r="D7" s="55"/>
      <c r="E7" s="55"/>
      <c r="F7" s="55"/>
      <c r="G7" s="55"/>
    </row>
    <row r="8" customFormat="false" ht="15" hidden="false" customHeight="false" outlineLevel="0" collapsed="false">
      <c r="B8" s="55"/>
      <c r="C8" s="55"/>
      <c r="D8" s="55"/>
      <c r="E8" s="55"/>
      <c r="F8" s="55"/>
      <c r="G8" s="55"/>
    </row>
    <row r="9" customFormat="false" ht="15" hidden="false" customHeight="false" outlineLevel="0" collapsed="false">
      <c r="B9" s="55"/>
      <c r="C9" s="55"/>
      <c r="D9" s="55"/>
      <c r="E9" s="55"/>
      <c r="F9" s="55"/>
      <c r="G9" s="55"/>
    </row>
    <row r="10" customFormat="false" ht="15" hidden="false" customHeight="false" outlineLevel="0" collapsed="false">
      <c r="B10" s="55"/>
      <c r="C10" s="55"/>
      <c r="D10" s="55"/>
      <c r="E10" s="55"/>
      <c r="F10" s="55"/>
      <c r="G10" s="55"/>
    </row>
    <row r="11" customFormat="false" ht="15" hidden="false" customHeight="false" outlineLevel="0" collapsed="false">
      <c r="B11" s="55"/>
      <c r="C11" s="55"/>
      <c r="D11" s="55"/>
      <c r="E11" s="55"/>
      <c r="F11" s="55"/>
      <c r="G11" s="55"/>
    </row>
    <row r="12" s="76" customFormat="true" ht="15" hidden="false" customHeight="false" outlineLevel="0" collapsed="false">
      <c r="B12" s="55"/>
      <c r="C12" s="55"/>
      <c r="D12" s="55"/>
      <c r="E12" s="55"/>
      <c r="F12" s="55"/>
      <c r="G12" s="55"/>
    </row>
    <row r="13" customFormat="false" ht="15" hidden="false" customHeight="false" outlineLevel="0" collapsed="false">
      <c r="B13" s="55"/>
      <c r="C13" s="55"/>
      <c r="D13" s="55"/>
      <c r="E13" s="55"/>
      <c r="F13" s="55"/>
      <c r="G13" s="55"/>
    </row>
    <row r="14" customFormat="false" ht="15" hidden="false" customHeight="false" outlineLevel="0" collapsed="false">
      <c r="B14" s="55"/>
      <c r="C14" s="55"/>
      <c r="D14" s="55"/>
      <c r="E14" s="55"/>
      <c r="F14" s="55"/>
      <c r="G14" s="55"/>
    </row>
    <row r="15" customFormat="false" ht="15" hidden="false" customHeight="false" outlineLevel="0" collapsed="false">
      <c r="B15" s="55"/>
      <c r="C15" s="55"/>
      <c r="D15" s="55"/>
      <c r="E15" s="55"/>
      <c r="F15" s="55"/>
      <c r="G15" s="55"/>
    </row>
    <row r="16" customFormat="false" ht="15" hidden="false" customHeight="false" outlineLevel="0" collapsed="false">
      <c r="B16" s="55"/>
      <c r="C16" s="57"/>
      <c r="D16" s="57"/>
      <c r="E16" s="57"/>
      <c r="F16" s="57"/>
      <c r="G16" s="77"/>
    </row>
    <row r="17" customFormat="false" ht="15" hidden="false" customHeight="false" outlineLevel="0" collapsed="false">
      <c r="B17" s="78" t="n">
        <v>9.65</v>
      </c>
      <c r="C17" s="78" t="n">
        <v>9.28</v>
      </c>
      <c r="D17" s="78" t="n">
        <v>9.22</v>
      </c>
      <c r="E17" s="78" t="n">
        <v>9.07</v>
      </c>
      <c r="F17" s="78" t="n">
        <v>8.97</v>
      </c>
      <c r="G17" s="78" t="n">
        <v>7.33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7" activeCellId="0" sqref="F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3"/>
    <col collapsed="false" customWidth="true" hidden="false" outlineLevel="0" max="2" min="2" style="1" width="22.88"/>
    <col collapsed="false" customWidth="true" hidden="false" outlineLevel="0" max="3" min="3" style="1" width="56.25"/>
    <col collapsed="false" customWidth="true" hidden="false" outlineLevel="0" max="4" min="4" style="1" width="50.88"/>
  </cols>
  <sheetData>
    <row r="1" customFormat="false" ht="25.5" hidden="false" customHeight="true" outlineLevel="0" collapsed="false">
      <c r="A1" s="79" t="s">
        <v>90</v>
      </c>
      <c r="B1" s="79"/>
      <c r="C1" s="79"/>
      <c r="D1" s="79"/>
    </row>
    <row r="2" customFormat="false" ht="15.75" hidden="false" customHeight="true" outlineLevel="0" collapsed="false">
      <c r="A2" s="80" t="s">
        <v>91</v>
      </c>
      <c r="B2" s="80"/>
      <c r="C2" s="80"/>
      <c r="D2" s="80"/>
    </row>
    <row r="3" customFormat="false" ht="15.75" hidden="false" customHeight="true" outlineLevel="0" collapsed="false">
      <c r="A3" s="81" t="s">
        <v>92</v>
      </c>
      <c r="B3" s="81"/>
      <c r="C3" s="81"/>
      <c r="D3" s="81"/>
    </row>
    <row r="4" customFormat="false" ht="15.75" hidden="false" customHeight="true" outlineLevel="0" collapsed="false">
      <c r="A4" s="82" t="s">
        <v>5</v>
      </c>
      <c r="B4" s="83" t="s">
        <v>93</v>
      </c>
      <c r="C4" s="84" t="s">
        <v>94</v>
      </c>
      <c r="D4" s="85" t="s">
        <v>95</v>
      </c>
    </row>
    <row r="5" customFormat="false" ht="15.75" hidden="false" customHeight="true" outlineLevel="0" collapsed="false">
      <c r="A5" s="86" t="n">
        <v>46223</v>
      </c>
      <c r="B5" s="87" t="s">
        <v>96</v>
      </c>
      <c r="C5" s="88" t="s">
        <v>97</v>
      </c>
      <c r="D5" s="89" t="s">
        <v>98</v>
      </c>
    </row>
    <row r="6" customFormat="false" ht="15.75" hidden="false" customHeight="true" outlineLevel="0" collapsed="false">
      <c r="A6" s="86"/>
      <c r="B6" s="90" t="s">
        <v>99</v>
      </c>
      <c r="C6" s="88"/>
      <c r="D6" s="89"/>
    </row>
    <row r="7" customFormat="false" ht="15.75" hidden="false" customHeight="true" outlineLevel="0" collapsed="false">
      <c r="A7" s="86"/>
      <c r="B7" s="90" t="s">
        <v>100</v>
      </c>
      <c r="C7" s="88" t="s">
        <v>101</v>
      </c>
      <c r="D7" s="91" t="s">
        <v>102</v>
      </c>
    </row>
    <row r="8" customFormat="false" ht="15.75" hidden="false" customHeight="true" outlineLevel="0" collapsed="false">
      <c r="A8" s="86"/>
      <c r="B8" s="90" t="s">
        <v>103</v>
      </c>
      <c r="C8" s="88"/>
      <c r="D8" s="91"/>
    </row>
    <row r="9" customFormat="false" ht="15.75" hidden="false" customHeight="true" outlineLevel="0" collapsed="false">
      <c r="A9" s="86"/>
      <c r="B9" s="90" t="s">
        <v>104</v>
      </c>
      <c r="C9" s="88"/>
      <c r="D9" s="91"/>
    </row>
    <row r="10" customFormat="false" ht="15.75" hidden="false" customHeight="true" outlineLevel="0" collapsed="false">
      <c r="A10" s="92" t="n">
        <f aca="false">+A5+1</f>
        <v>46224</v>
      </c>
      <c r="B10" s="87" t="s">
        <v>96</v>
      </c>
      <c r="C10" s="93" t="s">
        <v>101</v>
      </c>
      <c r="D10" s="91" t="s">
        <v>102</v>
      </c>
    </row>
    <row r="11" customFormat="false" ht="15.75" hidden="false" customHeight="true" outlineLevel="0" collapsed="false">
      <c r="A11" s="92"/>
      <c r="B11" s="90" t="s">
        <v>99</v>
      </c>
      <c r="C11" s="93"/>
      <c r="D11" s="91"/>
    </row>
    <row r="12" customFormat="false" ht="15.75" hidden="false" customHeight="true" outlineLevel="0" collapsed="false">
      <c r="A12" s="92"/>
      <c r="B12" s="90" t="s">
        <v>100</v>
      </c>
      <c r="C12" s="93"/>
      <c r="D12" s="91"/>
    </row>
    <row r="13" customFormat="false" ht="15.75" hidden="false" customHeight="true" outlineLevel="0" collapsed="false">
      <c r="A13" s="92"/>
      <c r="B13" s="90" t="s">
        <v>103</v>
      </c>
      <c r="C13" s="93" t="s">
        <v>101</v>
      </c>
      <c r="D13" s="94" t="s">
        <v>105</v>
      </c>
    </row>
    <row r="14" customFormat="false" ht="15.75" hidden="false" customHeight="true" outlineLevel="0" collapsed="false">
      <c r="A14" s="92"/>
      <c r="B14" s="90" t="s">
        <v>104</v>
      </c>
      <c r="C14" s="93"/>
      <c r="D14" s="94"/>
    </row>
    <row r="15" customFormat="false" ht="15.75" hidden="false" customHeight="true" outlineLevel="0" collapsed="false">
      <c r="A15" s="92" t="n">
        <f aca="false">+A10+1</f>
        <v>46225</v>
      </c>
      <c r="B15" s="87" t="s">
        <v>96</v>
      </c>
      <c r="C15" s="95" t="s">
        <v>106</v>
      </c>
      <c r="D15" s="94" t="s">
        <v>98</v>
      </c>
    </row>
    <row r="16" customFormat="false" ht="15.75" hidden="false" customHeight="true" outlineLevel="0" collapsed="false">
      <c r="A16" s="92"/>
      <c r="B16" s="90" t="s">
        <v>99</v>
      </c>
      <c r="C16" s="95"/>
      <c r="D16" s="94"/>
    </row>
    <row r="17" customFormat="false" ht="15.75" hidden="false" customHeight="true" outlineLevel="0" collapsed="false">
      <c r="A17" s="92"/>
      <c r="B17" s="90" t="s">
        <v>100</v>
      </c>
      <c r="C17" s="95"/>
      <c r="D17" s="94"/>
    </row>
    <row r="18" customFormat="false" ht="15.75" hidden="false" customHeight="true" outlineLevel="0" collapsed="false">
      <c r="A18" s="92"/>
      <c r="B18" s="90" t="s">
        <v>103</v>
      </c>
      <c r="C18" s="95"/>
      <c r="D18" s="94"/>
    </row>
    <row r="19" customFormat="false" ht="30.75" hidden="false" customHeight="true" outlineLevel="0" collapsed="false">
      <c r="A19" s="92"/>
      <c r="B19" s="90" t="s">
        <v>104</v>
      </c>
      <c r="C19" s="96" t="s">
        <v>107</v>
      </c>
      <c r="D19" s="97" t="s">
        <v>108</v>
      </c>
    </row>
    <row r="20" customFormat="false" ht="15.75" hidden="false" customHeight="true" outlineLevel="0" collapsed="false">
      <c r="A20" s="92" t="n">
        <f aca="false">+A15+1</f>
        <v>46226</v>
      </c>
      <c r="B20" s="90" t="s">
        <v>96</v>
      </c>
      <c r="C20" s="93" t="s">
        <v>109</v>
      </c>
      <c r="D20" s="94" t="s">
        <v>110</v>
      </c>
    </row>
    <row r="21" customFormat="false" ht="15.75" hidden="false" customHeight="true" outlineLevel="0" collapsed="false">
      <c r="A21" s="92"/>
      <c r="B21" s="87" t="s">
        <v>111</v>
      </c>
      <c r="C21" s="93"/>
      <c r="D21" s="94"/>
    </row>
    <row r="22" customFormat="false" ht="15.75" hidden="false" customHeight="true" outlineLevel="0" collapsed="false">
      <c r="A22" s="92"/>
      <c r="B22" s="90" t="s">
        <v>100</v>
      </c>
      <c r="C22" s="88" t="s">
        <v>112</v>
      </c>
      <c r="D22" s="91" t="s">
        <v>113</v>
      </c>
    </row>
    <row r="23" customFormat="false" ht="15.75" hidden="false" customHeight="true" outlineLevel="0" collapsed="false">
      <c r="A23" s="92"/>
      <c r="B23" s="90" t="s">
        <v>103</v>
      </c>
      <c r="C23" s="88"/>
      <c r="D23" s="91"/>
    </row>
    <row r="24" customFormat="false" ht="15.75" hidden="false" customHeight="true" outlineLevel="0" collapsed="false">
      <c r="A24" s="92"/>
      <c r="B24" s="90" t="s">
        <v>104</v>
      </c>
      <c r="C24" s="88"/>
      <c r="D24" s="91"/>
    </row>
    <row r="25" customFormat="false" ht="15.75" hidden="false" customHeight="true" outlineLevel="0" collapsed="false">
      <c r="A25" s="92" t="n">
        <f aca="false">+A20+1</f>
        <v>46227</v>
      </c>
      <c r="B25" s="87" t="s">
        <v>96</v>
      </c>
      <c r="C25" s="87" t="s">
        <v>114</v>
      </c>
      <c r="D25" s="98" t="s">
        <v>102</v>
      </c>
    </row>
    <row r="26" customFormat="false" ht="15.75" hidden="false" customHeight="true" outlineLevel="0" collapsed="false">
      <c r="A26" s="92"/>
      <c r="B26" s="90" t="s">
        <v>99</v>
      </c>
      <c r="C26" s="87"/>
      <c r="D26" s="98"/>
    </row>
    <row r="27" customFormat="false" ht="15.75" hidden="false" customHeight="true" outlineLevel="0" collapsed="false">
      <c r="A27" s="92"/>
      <c r="B27" s="90" t="s">
        <v>100</v>
      </c>
      <c r="C27" s="87"/>
      <c r="D27" s="98"/>
    </row>
    <row r="28" customFormat="false" ht="15.75" hidden="false" customHeight="true" outlineLevel="0" collapsed="false">
      <c r="A28" s="92"/>
      <c r="B28" s="90" t="s">
        <v>103</v>
      </c>
      <c r="C28" s="87" t="s">
        <v>115</v>
      </c>
      <c r="D28" s="99" t="s">
        <v>116</v>
      </c>
    </row>
    <row r="29" customFormat="false" ht="15.75" hidden="false" customHeight="true" outlineLevel="0" collapsed="false">
      <c r="A29" s="92"/>
      <c r="B29" s="90" t="s">
        <v>104</v>
      </c>
      <c r="C29" s="87"/>
      <c r="D29" s="99"/>
    </row>
    <row r="30" customFormat="false" ht="47.25" hidden="false" customHeight="true" outlineLevel="0" collapsed="false">
      <c r="A30" s="92" t="n">
        <f aca="false">+A25+1</f>
        <v>46228</v>
      </c>
      <c r="B30" s="87" t="s">
        <v>117</v>
      </c>
      <c r="C30" s="100" t="s">
        <v>118</v>
      </c>
      <c r="D30" s="91" t="s">
        <v>98</v>
      </c>
    </row>
    <row r="31" customFormat="false" ht="78.75" hidden="false" customHeight="true" outlineLevel="0" collapsed="false">
      <c r="A31" s="92"/>
      <c r="B31" s="90" t="s">
        <v>119</v>
      </c>
      <c r="C31" s="101" t="s">
        <v>120</v>
      </c>
      <c r="D31" s="91"/>
    </row>
    <row r="32" customFormat="false" ht="63" hidden="false" customHeight="true" outlineLevel="0" collapsed="false">
      <c r="A32" s="92"/>
      <c r="B32" s="90" t="s">
        <v>121</v>
      </c>
      <c r="C32" s="88" t="s">
        <v>122</v>
      </c>
      <c r="D32" s="91"/>
    </row>
    <row r="33" customFormat="false" ht="78.75" hidden="false" customHeight="true" outlineLevel="0" collapsed="false">
      <c r="A33" s="92"/>
      <c r="B33" s="90" t="s">
        <v>123</v>
      </c>
      <c r="C33" s="88" t="s">
        <v>124</v>
      </c>
      <c r="D33" s="91"/>
    </row>
    <row r="34" customFormat="false" ht="15.75" hidden="false" customHeight="true" outlineLevel="0" collapsed="false">
      <c r="A34" s="102" t="s">
        <v>125</v>
      </c>
      <c r="B34" s="102"/>
      <c r="C34" s="103" t="s">
        <v>126</v>
      </c>
      <c r="D34" s="103"/>
    </row>
    <row r="35" customFormat="false" ht="16.5" hidden="false" customHeight="true" outlineLevel="0" collapsed="false">
      <c r="A35" s="104" t="s">
        <v>127</v>
      </c>
      <c r="B35" s="104"/>
      <c r="C35" s="105" t="s">
        <v>128</v>
      </c>
      <c r="D35" s="105"/>
    </row>
    <row r="36" customFormat="false" ht="15.75" hidden="false" customHeight="true" outlineLevel="0" collapsed="false">
      <c r="A36" s="106" t="s">
        <v>129</v>
      </c>
      <c r="B36" s="106"/>
      <c r="C36" s="106"/>
      <c r="D36" s="106"/>
    </row>
    <row r="37" customFormat="false" ht="15.75" hidden="false" customHeight="true" outlineLevel="0" collapsed="false">
      <c r="A37" s="88" t="s">
        <v>130</v>
      </c>
      <c r="B37" s="88"/>
      <c r="C37" s="88"/>
      <c r="D37" s="88"/>
    </row>
  </sheetData>
  <mergeCells count="34">
    <mergeCell ref="A1:D1"/>
    <mergeCell ref="A2:D2"/>
    <mergeCell ref="A3:D3"/>
    <mergeCell ref="A5:A9"/>
    <mergeCell ref="C5:C6"/>
    <mergeCell ref="D5:D6"/>
    <mergeCell ref="C7:C9"/>
    <mergeCell ref="D7:D9"/>
    <mergeCell ref="A10:A14"/>
    <mergeCell ref="C10:C12"/>
    <mergeCell ref="D10:D12"/>
    <mergeCell ref="C13:C14"/>
    <mergeCell ref="D13:D14"/>
    <mergeCell ref="A15:A19"/>
    <mergeCell ref="C15:C18"/>
    <mergeCell ref="D15:D18"/>
    <mergeCell ref="A20:A24"/>
    <mergeCell ref="C20:C21"/>
    <mergeCell ref="D20:D21"/>
    <mergeCell ref="C22:C24"/>
    <mergeCell ref="D22:D24"/>
    <mergeCell ref="A25:A29"/>
    <mergeCell ref="C25:C27"/>
    <mergeCell ref="D25:D27"/>
    <mergeCell ref="C28:C29"/>
    <mergeCell ref="D28:D29"/>
    <mergeCell ref="A30:A33"/>
    <mergeCell ref="D30:D33"/>
    <mergeCell ref="A34:B34"/>
    <mergeCell ref="C34:D34"/>
    <mergeCell ref="A35:B35"/>
    <mergeCell ref="C35:D35"/>
    <mergeCell ref="A36:D36"/>
    <mergeCell ref="A37:D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2023-08-09T05:17:25Z</dcterms:created>
  <dc:creator>BEL</dc:creator>
  <dc:description/>
  <dc:language>en-US</dc:language>
  <cp:lastModifiedBy/>
  <dcterms:modified xsi:type="dcterms:W3CDTF">2026-08-31T10:11:12Z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